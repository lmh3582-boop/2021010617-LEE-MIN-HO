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lals\OneDrive\바탕 화면\wjstks\wjstks\9주차\"/>
    </mc:Choice>
  </mc:AlternateContent>
  <xr:revisionPtr revIDLastSave="0" documentId="13_ncr:1_{C7C0F2D4-7914-408A-A182-7CE5DB2D5275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3" i="3" l="1"/>
  <c r="H80" i="3"/>
  <c r="H79" i="3"/>
  <c r="H78" i="3"/>
  <c r="H77" i="3"/>
  <c r="H76" i="3"/>
  <c r="H75" i="3"/>
  <c r="H74" i="3"/>
  <c r="H73" i="3"/>
  <c r="H72" i="3"/>
  <c r="H71" i="3"/>
  <c r="H70" i="3"/>
  <c r="H69" i="3"/>
  <c r="H68" i="3"/>
  <c r="H67" i="3"/>
  <c r="H66" i="3"/>
  <c r="H65" i="3"/>
  <c r="H64" i="3"/>
  <c r="H63" i="3"/>
  <c r="H62" i="3"/>
  <c r="H61" i="3"/>
  <c r="H60" i="3"/>
  <c r="H59" i="3"/>
  <c r="H58" i="3"/>
  <c r="H57" i="3"/>
  <c r="H56" i="3"/>
  <c r="H55" i="3"/>
  <c r="H54" i="3"/>
  <c r="H53" i="3"/>
  <c r="H52" i="3"/>
  <c r="H51" i="3"/>
  <c r="H50" i="3"/>
  <c r="H49" i="3"/>
  <c r="H48" i="3"/>
  <c r="H47" i="3"/>
  <c r="H46" i="3"/>
  <c r="H45" i="3"/>
  <c r="H44" i="3"/>
  <c r="H43" i="3"/>
  <c r="H42" i="3"/>
  <c r="H40" i="3"/>
  <c r="H39" i="3"/>
  <c r="H38" i="3"/>
  <c r="H37" i="3"/>
  <c r="H36" i="3"/>
  <c r="H35" i="3"/>
  <c r="H34" i="3"/>
  <c r="H33" i="3"/>
  <c r="H32" i="3"/>
  <c r="H31" i="3"/>
  <c r="H30" i="3"/>
  <c r="H29" i="3"/>
  <c r="H28" i="3"/>
  <c r="H27" i="3"/>
  <c r="H26" i="3"/>
  <c r="H25" i="3"/>
  <c r="H24" i="3"/>
  <c r="H23" i="3"/>
  <c r="H22" i="3"/>
  <c r="H21" i="3"/>
  <c r="H20" i="3"/>
  <c r="H19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H3" i="3"/>
  <c r="E3" i="3"/>
  <c r="H2" i="3"/>
  <c r="E2" i="3"/>
  <c r="E4" i="3" s="1"/>
  <c r="G74" i="3" l="1"/>
  <c r="G12" i="3"/>
  <c r="G24" i="3"/>
  <c r="G32" i="3"/>
  <c r="G45" i="3"/>
  <c r="G53" i="3"/>
  <c r="G65" i="3"/>
  <c r="G77" i="3"/>
  <c r="G13" i="3"/>
  <c r="G25" i="3"/>
  <c r="G33" i="3"/>
  <c r="G42" i="3"/>
  <c r="G54" i="3"/>
  <c r="G58" i="3"/>
  <c r="G62" i="3"/>
  <c r="G66" i="3"/>
  <c r="G78" i="3"/>
  <c r="G6" i="3"/>
  <c r="G10" i="3"/>
  <c r="G14" i="3"/>
  <c r="G18" i="3"/>
  <c r="G22" i="3"/>
  <c r="G26" i="3"/>
  <c r="G30" i="3"/>
  <c r="G34" i="3"/>
  <c r="G38" i="3"/>
  <c r="G43" i="3"/>
  <c r="G47" i="3"/>
  <c r="G51" i="3"/>
  <c r="G55" i="3"/>
  <c r="G59" i="3"/>
  <c r="G63" i="3"/>
  <c r="G67" i="3"/>
  <c r="G71" i="3"/>
  <c r="G75" i="3"/>
  <c r="G79" i="3"/>
  <c r="G4" i="3"/>
  <c r="G16" i="3"/>
  <c r="G28" i="3"/>
  <c r="G40" i="3"/>
  <c r="G57" i="3"/>
  <c r="G69" i="3"/>
  <c r="G3" i="3"/>
  <c r="G8" i="3"/>
  <c r="G20" i="3"/>
  <c r="G36" i="3"/>
  <c r="G49" i="3"/>
  <c r="G61" i="3"/>
  <c r="G73" i="3"/>
  <c r="G5" i="3"/>
  <c r="G17" i="3"/>
  <c r="G29" i="3"/>
  <c r="G46" i="3"/>
  <c r="G70" i="3"/>
  <c r="G7" i="3"/>
  <c r="G11" i="3"/>
  <c r="G15" i="3"/>
  <c r="G19" i="3"/>
  <c r="G23" i="3"/>
  <c r="G27" i="3"/>
  <c r="G31" i="3"/>
  <c r="G35" i="3"/>
  <c r="G39" i="3"/>
  <c r="G44" i="3"/>
  <c r="G48" i="3"/>
  <c r="G52" i="3"/>
  <c r="G56" i="3"/>
  <c r="G60" i="3"/>
  <c r="G64" i="3"/>
  <c r="G68" i="3"/>
  <c r="G72" i="3"/>
  <c r="G76" i="3"/>
  <c r="G80" i="3"/>
  <c r="G2" i="3"/>
  <c r="G9" i="3"/>
  <c r="G21" i="3"/>
  <c r="G37" i="3"/>
  <c r="G50" i="3"/>
</calcChain>
</file>

<file path=xl/sharedStrings.xml><?xml version="1.0" encoding="utf-8"?>
<sst xmlns="http://schemas.openxmlformats.org/spreadsheetml/2006/main" count="23" uniqueCount="15">
  <si>
    <t>Points_1</t>
  </si>
  <si>
    <t>Pressure</t>
  </si>
  <si>
    <t>P-P_at</t>
  </si>
  <si>
    <t>Parameters</t>
  </si>
  <si>
    <t>Values</t>
  </si>
  <si>
    <t>Cp</t>
  </si>
  <si>
    <t>r</t>
  </si>
  <si>
    <t>omega</t>
  </si>
  <si>
    <t>v</t>
  </si>
  <si>
    <t>q</t>
  </si>
  <si>
    <t>SortKey</t>
  </si>
  <si>
    <t>upper</t>
    <phoneticPr fontId="2" type="noConversion"/>
  </si>
  <si>
    <t>r/R=0.5 x/c</t>
  </si>
  <si>
    <t>r/R=0.5 Cp</t>
  </si>
  <si>
    <t>lower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</si>
</sst>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0_ "/>
  </numFmts>
  <fonts count="5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rgb="FF1B1C1D"/>
      <name val="Arial"/>
      <family val="2"/>
    </font>
    <font>
      <sz val="11"/>
      <color rgb="FF1B1C1D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176" fontId="0" fillId="0" borderId="0" xfId="0" applyNumberFormat="1" applyAlignment="1">
      <alignment vertical="center"/>
    </xf>
    <xf numFmtId="0" fontId="3" fillId="0" borderId="1" xfId="0" applyFont="1" applyBorder="1" applyAlignment="1">
      <alignment vertical="center" wrapText="1" readingOrder="1"/>
    </xf>
    <xf numFmtId="0" fontId="4" fillId="0" borderId="1" xfId="0" applyFont="1" applyBorder="1" applyAlignment="1">
      <alignment vertical="center" wrapText="1" readingOrder="1"/>
    </xf>
    <xf numFmtId="0" fontId="4" fillId="0" borderId="0" xfId="0" applyFont="1" applyAlignment="1">
      <alignment vertical="center" wrapText="1" readingOrder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Section 50%</a:t>
            </a:r>
          </a:p>
        </c:rich>
      </c:tx>
      <c:overlay val="0"/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SU2</c:v>
          </c:tx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Sheet3!$G$2:$G$80</c:f>
              <c:numCache>
                <c:formatCode>General</c:formatCode>
                <c:ptCount val="79"/>
                <c:pt idx="0">
                  <c:v>0.99394185391386525</c:v>
                </c:pt>
                <c:pt idx="1">
                  <c:v>0.9865993808574699</c:v>
                </c:pt>
                <c:pt idx="2">
                  <c:v>0.97773025498736865</c:v>
                </c:pt>
                <c:pt idx="3">
                  <c:v>0.96704368529142715</c:v>
                </c:pt>
                <c:pt idx="4">
                  <c:v>0.95423676446533834</c:v>
                </c:pt>
                <c:pt idx="5">
                  <c:v>0.93895206189002045</c:v>
                </c:pt>
                <c:pt idx="6">
                  <c:v>0.92081397250813313</c:v>
                </c:pt>
                <c:pt idx="7">
                  <c:v>0.8994468912623359</c:v>
                </c:pt>
                <c:pt idx="8">
                  <c:v>0.87448127124137465</c:v>
                </c:pt>
                <c:pt idx="9">
                  <c:v>0.84559360744424983</c:v>
                </c:pt>
                <c:pt idx="10">
                  <c:v>0.81252824610612651</c:v>
                </c:pt>
                <c:pt idx="11">
                  <c:v>0.77516341849067349</c:v>
                </c:pt>
                <c:pt idx="12">
                  <c:v>0.73354092580588481</c:v>
                </c:pt>
                <c:pt idx="13">
                  <c:v>0.6879109694851181</c:v>
                </c:pt>
                <c:pt idx="14">
                  <c:v>0.63875759540065535</c:v>
                </c:pt>
                <c:pt idx="15">
                  <c:v>0.58679929967831246</c:v>
                </c:pt>
                <c:pt idx="16">
                  <c:v>0.53296419029848474</c:v>
                </c:pt>
                <c:pt idx="17">
                  <c:v>0.47833182889372183</c:v>
                </c:pt>
                <c:pt idx="18">
                  <c:v>0.42405205159117204</c:v>
                </c:pt>
                <c:pt idx="19">
                  <c:v>0.37125227937746486</c:v>
                </c:pt>
                <c:pt idx="20">
                  <c:v>0.32094664590741939</c:v>
                </c:pt>
                <c:pt idx="21">
                  <c:v>0.27396529893921856</c:v>
                </c:pt>
                <c:pt idx="22">
                  <c:v>0.23091047877528517</c:v>
                </c:pt>
                <c:pt idx="23">
                  <c:v>0.19214446255156997</c:v>
                </c:pt>
                <c:pt idx="24">
                  <c:v>0.15780380088085444</c:v>
                </c:pt>
                <c:pt idx="25">
                  <c:v>0.12783354637813735</c:v>
                </c:pt>
                <c:pt idx="26">
                  <c:v>0.10203371964111542</c:v>
                </c:pt>
                <c:pt idx="27">
                  <c:v>8.0103230809307716E-2</c:v>
                </c:pt>
                <c:pt idx="28">
                  <c:v>6.1685255078240943E-2</c:v>
                </c:pt>
                <c:pt idx="29">
                  <c:v>4.6402975761357518E-2</c:v>
                </c:pt>
                <c:pt idx="30">
                  <c:v>3.3885634318185934E-2</c:v>
                </c:pt>
                <c:pt idx="31">
                  <c:v>2.3788522236425195E-2</c:v>
                </c:pt>
                <c:pt idx="32">
                  <c:v>1.5808732211768557E-2</c:v>
                </c:pt>
                <c:pt idx="33">
                  <c:v>9.6900046647725082E-3</c:v>
                </c:pt>
                <c:pt idx="34">
                  <c:v>5.2287858869428687E-3</c:v>
                </c:pt>
                <c:pt idx="35">
                  <c:v>2.4141712153247044E-3</c:v>
                </c:pt>
                <c:pt idx="36">
                  <c:v>8.3784160371243744E-4</c:v>
                </c:pt>
                <c:pt idx="37">
                  <c:v>1.3206758467775129E-4</c:v>
                </c:pt>
                <c:pt idx="38">
                  <c:v>0</c:v>
                </c:pt>
                <c:pt idx="40">
                  <c:v>1</c:v>
                </c:pt>
                <c:pt idx="41">
                  <c:v>0.99417206346513831</c:v>
                </c:pt>
                <c:pt idx="42">
                  <c:v>0.98712038142087744</c:v>
                </c:pt>
                <c:pt idx="43">
                  <c:v>0.97858445358551371</c:v>
                </c:pt>
                <c:pt idx="44">
                  <c:v>0.96830983782342916</c:v>
                </c:pt>
                <c:pt idx="45">
                  <c:v>0.95597545239205883</c:v>
                </c:pt>
                <c:pt idx="46">
                  <c:v>0.94125415740275153</c:v>
                </c:pt>
                <c:pt idx="47">
                  <c:v>0.9237703477981668</c:v>
                </c:pt>
                <c:pt idx="48">
                  <c:v>0.9031544766670504</c:v>
                </c:pt>
                <c:pt idx="49">
                  <c:v>0.87904911339032021</c:v>
                </c:pt>
                <c:pt idx="50">
                  <c:v>0.85111681923097871</c:v>
                </c:pt>
                <c:pt idx="51">
                  <c:v>0.81911345090175502</c:v>
                </c:pt>
                <c:pt idx="52">
                  <c:v>0.78289967104266733</c:v>
                </c:pt>
                <c:pt idx="53">
                  <c:v>0.74250031805266947</c:v>
                </c:pt>
                <c:pt idx="54">
                  <c:v>0.69813954333694794</c:v>
                </c:pt>
                <c:pt idx="55">
                  <c:v>0.6502632264474425</c:v>
                </c:pt>
                <c:pt idx="56">
                  <c:v>0.59954685067275715</c:v>
                </c:pt>
                <c:pt idx="57">
                  <c:v>0.54686763556616391</c:v>
                </c:pt>
                <c:pt idx="58">
                  <c:v>0.49325061944543724</c:v>
                </c:pt>
                <c:pt idx="59">
                  <c:v>0.43979475001060175</c:v>
                </c:pt>
                <c:pt idx="60">
                  <c:v>0.38758322378185822</c:v>
                </c:pt>
                <c:pt idx="61">
                  <c:v>0.33760230694202953</c:v>
                </c:pt>
                <c:pt idx="62">
                  <c:v>0.29066881932790922</c:v>
                </c:pt>
                <c:pt idx="63">
                  <c:v>0.2473920044587955</c:v>
                </c:pt>
                <c:pt idx="64">
                  <c:v>0.20815583974991972</c:v>
                </c:pt>
                <c:pt idx="65">
                  <c:v>0.17313030466416665</c:v>
                </c:pt>
                <c:pt idx="66">
                  <c:v>0.14230161086104429</c:v>
                </c:pt>
                <c:pt idx="67">
                  <c:v>0.11550824816589626</c:v>
                </c:pt>
                <c:pt idx="68">
                  <c:v>9.248971629701877E-2</c:v>
                </c:pt>
                <c:pt idx="69">
                  <c:v>7.2921298624195011E-2</c:v>
                </c:pt>
                <c:pt idx="70">
                  <c:v>5.6451622674429172E-2</c:v>
                </c:pt>
                <c:pt idx="71">
                  <c:v>4.2729315974725422E-2</c:v>
                </c:pt>
                <c:pt idx="72">
                  <c:v>3.1422997934172185E-2</c:v>
                </c:pt>
                <c:pt idx="73">
                  <c:v>2.2237031023766122E-2</c:v>
                </c:pt>
                <c:pt idx="74">
                  <c:v>1.4922425439367035E-2</c:v>
                </c:pt>
                <c:pt idx="75">
                  <c:v>9.2810798039583836E-3</c:v>
                </c:pt>
                <c:pt idx="76">
                  <c:v>5.1603288361695534E-3</c:v>
                </c:pt>
                <c:pt idx="77">
                  <c:v>2.2560536024765813E-3</c:v>
                </c:pt>
                <c:pt idx="78">
                  <c:v>5.9672738948427818E-4</c:v>
                </c:pt>
              </c:numCache>
            </c:numRef>
          </c:xVal>
          <c:yVal>
            <c:numRef>
              <c:f>Sheet3!$H$2:$H$80</c:f>
              <c:numCache>
                <c:formatCode>General</c:formatCode>
                <c:ptCount val="79"/>
                <c:pt idx="0">
                  <c:v>1.5183195651427579</c:v>
                </c:pt>
                <c:pt idx="1">
                  <c:v>0.94295098749787309</c:v>
                </c:pt>
                <c:pt idx="2">
                  <c:v>0.24439854274154019</c:v>
                </c:pt>
                <c:pt idx="3">
                  <c:v>0.66412806034152927</c:v>
                </c:pt>
                <c:pt idx="4">
                  <c:v>0.2740093479796975</c:v>
                </c:pt>
                <c:pt idx="5">
                  <c:v>0.13638474333831099</c:v>
                </c:pt>
                <c:pt idx="6">
                  <c:v>0.20975535927325259</c:v>
                </c:pt>
                <c:pt idx="7">
                  <c:v>5.9440409529798642E-2</c:v>
                </c:pt>
                <c:pt idx="8">
                  <c:v>9.6782114657721213E-2</c:v>
                </c:pt>
                <c:pt idx="9">
                  <c:v>4.6093667267279433E-2</c:v>
                </c:pt>
                <c:pt idx="10">
                  <c:v>-1.327380924469123E-2</c:v>
                </c:pt>
                <c:pt idx="11">
                  <c:v>-2.1734039312736191E-2</c:v>
                </c:pt>
                <c:pt idx="12">
                  <c:v>-7.169315652489823E-2</c:v>
                </c:pt>
                <c:pt idx="13">
                  <c:v>-0.1021864512787745</c:v>
                </c:pt>
                <c:pt idx="14">
                  <c:v>-0.13417487289812319</c:v>
                </c:pt>
                <c:pt idx="15">
                  <c:v>-0.1720344024526248</c:v>
                </c:pt>
                <c:pt idx="16">
                  <c:v>-0.2007991846839772</c:v>
                </c:pt>
                <c:pt idx="17">
                  <c:v>-0.23433378628127979</c:v>
                </c:pt>
                <c:pt idx="18">
                  <c:v>-0.26560746432591509</c:v>
                </c:pt>
                <c:pt idx="19">
                  <c:v>-0.29487548438028122</c:v>
                </c:pt>
                <c:pt idx="20">
                  <c:v>-0.31349528383176212</c:v>
                </c:pt>
                <c:pt idx="21">
                  <c:v>-0.34441159008904082</c:v>
                </c:pt>
                <c:pt idx="22">
                  <c:v>-0.34067012627446552</c:v>
                </c:pt>
                <c:pt idx="23">
                  <c:v>-0.34890426398724328</c:v>
                </c:pt>
                <c:pt idx="24">
                  <c:v>-0.34290916992178411</c:v>
                </c:pt>
                <c:pt idx="25">
                  <c:v>-0.34285811680930478</c:v>
                </c:pt>
                <c:pt idx="26">
                  <c:v>-0.31488830447227678</c:v>
                </c:pt>
                <c:pt idx="27">
                  <c:v>-0.26355075322316651</c:v>
                </c:pt>
                <c:pt idx="28">
                  <c:v>-0.21332907714682331</c:v>
                </c:pt>
                <c:pt idx="29">
                  <c:v>-0.14139524166309261</c:v>
                </c:pt>
                <c:pt idx="30">
                  <c:v>2.6620551507210429E-2</c:v>
                </c:pt>
                <c:pt idx="31">
                  <c:v>0.12573652273542679</c:v>
                </c:pt>
                <c:pt idx="32">
                  <c:v>0.41374901013809529</c:v>
                </c:pt>
                <c:pt idx="33">
                  <c:v>0.48493163553819768</c:v>
                </c:pt>
                <c:pt idx="34">
                  <c:v>0.90911006722569321</c:v>
                </c:pt>
                <c:pt idx="35">
                  <c:v>0.41243621581719181</c:v>
                </c:pt>
                <c:pt idx="36">
                  <c:v>0.59870714334983677</c:v>
                </c:pt>
                <c:pt idx="37">
                  <c:v>0.73837387249040654</c:v>
                </c:pt>
                <c:pt idx="38">
                  <c:v>0.74121826018569759</c:v>
                </c:pt>
                <c:pt idx="40">
                  <c:v>-0.1019749455270727</c:v>
                </c:pt>
                <c:pt idx="41">
                  <c:v>1.395646229156106</c:v>
                </c:pt>
                <c:pt idx="42">
                  <c:v>0.94601417424664791</c:v>
                </c:pt>
                <c:pt idx="43">
                  <c:v>8.5769228965697164E-2</c:v>
                </c:pt>
                <c:pt idx="44">
                  <c:v>0.63553831735296351</c:v>
                </c:pt>
                <c:pt idx="45">
                  <c:v>0.1450637724598399</c:v>
                </c:pt>
                <c:pt idx="46">
                  <c:v>0.19713794718901309</c:v>
                </c:pt>
                <c:pt idx="47">
                  <c:v>0.17883175971419171</c:v>
                </c:pt>
                <c:pt idx="48">
                  <c:v>2.8735609024221669E-2</c:v>
                </c:pt>
                <c:pt idx="49">
                  <c:v>4.7333528570354992E-2</c:v>
                </c:pt>
                <c:pt idx="50">
                  <c:v>-3.7998102288374337E-2</c:v>
                </c:pt>
                <c:pt idx="51">
                  <c:v>-7.6287936648060578E-2</c:v>
                </c:pt>
                <c:pt idx="52">
                  <c:v>-0.11986541480027491</c:v>
                </c:pt>
                <c:pt idx="53">
                  <c:v>-0.16510576575896729</c:v>
                </c:pt>
                <c:pt idx="54">
                  <c:v>-0.21612241172963489</c:v>
                </c:pt>
                <c:pt idx="55">
                  <c:v>-0.26527197244390599</c:v>
                </c:pt>
                <c:pt idx="56">
                  <c:v>-0.3185787151743727</c:v>
                </c:pt>
                <c:pt idx="57">
                  <c:v>-0.37313990581147932</c:v>
                </c:pt>
                <c:pt idx="58">
                  <c:v>-0.4359060609542339</c:v>
                </c:pt>
                <c:pt idx="59">
                  <c:v>-0.49032867885746773</c:v>
                </c:pt>
                <c:pt idx="60">
                  <c:v>-0.54806245577009227</c:v>
                </c:pt>
                <c:pt idx="61">
                  <c:v>-0.61102553006098115</c:v>
                </c:pt>
                <c:pt idx="62">
                  <c:v>-0.67638810063841204</c:v>
                </c:pt>
                <c:pt idx="63">
                  <c:v>-0.72083348170277894</c:v>
                </c:pt>
                <c:pt idx="64">
                  <c:v>-0.78016449170583557</c:v>
                </c:pt>
                <c:pt idx="65">
                  <c:v>-0.82563093501979401</c:v>
                </c:pt>
                <c:pt idx="66">
                  <c:v>-0.86699124943003836</c:v>
                </c:pt>
                <c:pt idx="67">
                  <c:v>-0.87130159078367198</c:v>
                </c:pt>
                <c:pt idx="68">
                  <c:v>-0.97068012087606848</c:v>
                </c:pt>
                <c:pt idx="69">
                  <c:v>-0.94427836842234192</c:v>
                </c:pt>
                <c:pt idx="70">
                  <c:v>-0.96832438440022472</c:v>
                </c:pt>
                <c:pt idx="71">
                  <c:v>-0.94666327810531647</c:v>
                </c:pt>
                <c:pt idx="72">
                  <c:v>-0.90329001240302065</c:v>
                </c:pt>
                <c:pt idx="73">
                  <c:v>-0.69929636153817798</c:v>
                </c:pt>
                <c:pt idx="74">
                  <c:v>-0.46686612702220881</c:v>
                </c:pt>
                <c:pt idx="75">
                  <c:v>-7.4245812148877308E-2</c:v>
                </c:pt>
                <c:pt idx="76">
                  <c:v>6.7681840544359675E-2</c:v>
                </c:pt>
                <c:pt idx="77">
                  <c:v>0.72079701519386485</c:v>
                </c:pt>
                <c:pt idx="78">
                  <c:v>1.132649766868433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98A-4443-8E95-4E94B4718643}"/>
            </c:ext>
          </c:extLst>
        </c:ser>
        <c:ser>
          <c:idx val="1"/>
          <c:order val="1"/>
          <c:tx>
            <c:v>Exp.</c:v>
          </c:tx>
          <c:spPr>
            <a:ln>
              <a:noFill/>
            </a:ln>
          </c:spPr>
          <c:marker>
            <c:symbol val="square"/>
            <c:size val="5"/>
            <c:spPr>
              <a:ln>
                <a:solidFill>
                  <a:srgbClr val="C00000"/>
                </a:solidFill>
              </a:ln>
            </c:spPr>
          </c:marker>
          <c:xVal>
            <c:numRef>
              <c:f>Sheet3!$M$25:$M$37</c:f>
              <c:numCache>
                <c:formatCode>General</c:formatCode>
                <c:ptCount val="13"/>
                <c:pt idx="0">
                  <c:v>0</c:v>
                </c:pt>
                <c:pt idx="1">
                  <c:v>0.03</c:v>
                </c:pt>
                <c:pt idx="2">
                  <c:v>0.12</c:v>
                </c:pt>
                <c:pt idx="3">
                  <c:v>0.26</c:v>
                </c:pt>
                <c:pt idx="4">
                  <c:v>0.47</c:v>
                </c:pt>
                <c:pt idx="5">
                  <c:v>0.69</c:v>
                </c:pt>
                <c:pt idx="6">
                  <c:v>0.83</c:v>
                </c:pt>
                <c:pt idx="8">
                  <c:v>0.04</c:v>
                </c:pt>
                <c:pt idx="9">
                  <c:v>0.2</c:v>
                </c:pt>
                <c:pt idx="10">
                  <c:v>0.45</c:v>
                </c:pt>
                <c:pt idx="11">
                  <c:v>0.69</c:v>
                </c:pt>
                <c:pt idx="12">
                  <c:v>0.85</c:v>
                </c:pt>
              </c:numCache>
            </c:numRef>
          </c:xVal>
          <c:yVal>
            <c:numRef>
              <c:f>Sheet3!$N$25:$N$37</c:f>
              <c:numCache>
                <c:formatCode>General</c:formatCode>
                <c:ptCount val="13"/>
                <c:pt idx="0">
                  <c:v>0.91379999999999995</c:v>
                </c:pt>
                <c:pt idx="1">
                  <c:v>-0.86909999999999998</c:v>
                </c:pt>
                <c:pt idx="2">
                  <c:v>-0.71730000000000005</c:v>
                </c:pt>
                <c:pt idx="3">
                  <c:v>-0.53169999999999995</c:v>
                </c:pt>
                <c:pt idx="4">
                  <c:v>-0.35170000000000001</c:v>
                </c:pt>
                <c:pt idx="5">
                  <c:v>-0.20549999999999999</c:v>
                </c:pt>
                <c:pt idx="6">
                  <c:v>-8.7359999999999993E-2</c:v>
                </c:pt>
                <c:pt idx="8">
                  <c:v>5.6059999999999999E-2</c:v>
                </c:pt>
                <c:pt idx="9">
                  <c:v>-0.27579999999999999</c:v>
                </c:pt>
                <c:pt idx="10">
                  <c:v>-0.2195</c:v>
                </c:pt>
                <c:pt idx="11">
                  <c:v>-9.8610000000000003E-2</c:v>
                </c:pt>
                <c:pt idx="12">
                  <c:v>-3.6740000000000002E-2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598A-4443-8E95-4E94B47186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010001"/>
        <c:axId val="50010002"/>
      </c:scatterChart>
      <c:valAx>
        <c:axId val="5001000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X/C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low"/>
        <c:crossAx val="50010002"/>
        <c:crosses val="autoZero"/>
        <c:crossBetween val="midCat"/>
      </c:valAx>
      <c:valAx>
        <c:axId val="50010002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Cp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0010001"/>
        <c:crosses val="autoZero"/>
        <c:crossBetween val="midCat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9"/>
  <sheetViews>
    <sheetView workbookViewId="0"/>
  </sheetViews>
  <sheetFormatPr defaultRowHeight="17" x14ac:dyDescent="0.45"/>
  <sheetData>
    <row r="1" spans="1:7" x14ac:dyDescent="0.45">
      <c r="A1" t="s">
        <v>0</v>
      </c>
      <c r="B1" t="s">
        <v>1</v>
      </c>
      <c r="C1" t="s">
        <v>2</v>
      </c>
      <c r="E1" t="s">
        <v>3</v>
      </c>
      <c r="F1" t="s">
        <v>4</v>
      </c>
      <c r="G1" t="s">
        <v>5</v>
      </c>
    </row>
    <row r="2" spans="1:7" x14ac:dyDescent="0.45">
      <c r="A2">
        <v>0.122784</v>
      </c>
      <c r="B2">
        <v>122143</v>
      </c>
      <c r="C2">
        <v>20818</v>
      </c>
      <c r="E2" t="s">
        <v>6</v>
      </c>
      <c r="F2">
        <v>0.57150000000000001</v>
      </c>
      <c r="G2">
        <v>1.5183195651427579</v>
      </c>
    </row>
    <row r="3" spans="1:7" x14ac:dyDescent="0.45">
      <c r="A3">
        <v>0.12378400000000001</v>
      </c>
      <c r="B3">
        <v>99926.8</v>
      </c>
      <c r="C3">
        <v>-1398.1999999999971</v>
      </c>
      <c r="E3" t="s">
        <v>7</v>
      </c>
      <c r="F3">
        <v>261.79938779999998</v>
      </c>
      <c r="G3">
        <v>-0.1019749455270727</v>
      </c>
    </row>
    <row r="4" spans="1:7" x14ac:dyDescent="0.45">
      <c r="A4">
        <v>0.121572</v>
      </c>
      <c r="B4">
        <v>114254</v>
      </c>
      <c r="C4">
        <v>12929</v>
      </c>
      <c r="E4" t="s">
        <v>8</v>
      </c>
      <c r="F4">
        <v>149.61835012770001</v>
      </c>
      <c r="G4">
        <v>0.94295098749787309</v>
      </c>
    </row>
    <row r="5" spans="1:7" x14ac:dyDescent="0.45">
      <c r="A5">
        <v>-3.4229799999999998E-2</v>
      </c>
      <c r="B5">
        <v>88345.1</v>
      </c>
      <c r="C5">
        <v>-12979.899999999991</v>
      </c>
      <c r="E5" t="s">
        <v>9</v>
      </c>
      <c r="F5">
        <v>13711.2110506477</v>
      </c>
      <c r="G5">
        <v>-0.94666327810531647</v>
      </c>
    </row>
    <row r="6" spans="1:7" x14ac:dyDescent="0.45">
      <c r="A6">
        <v>-3.6096099999999999E-2</v>
      </c>
      <c r="B6">
        <v>88939.8</v>
      </c>
      <c r="C6">
        <v>-12385.2</v>
      </c>
      <c r="G6">
        <v>-0.90329001240302065</v>
      </c>
    </row>
    <row r="7" spans="1:7" x14ac:dyDescent="0.45">
      <c r="A7">
        <v>-3.1964699999999999E-2</v>
      </c>
      <c r="B7">
        <v>88048.1</v>
      </c>
      <c r="C7">
        <v>-13276.899999999991</v>
      </c>
      <c r="G7">
        <v>-0.96832438440022472</v>
      </c>
    </row>
    <row r="8" spans="1:7" x14ac:dyDescent="0.45">
      <c r="A8">
        <v>-2.9246100000000001E-2</v>
      </c>
      <c r="B8">
        <v>88377.8</v>
      </c>
      <c r="C8">
        <v>-12947.2</v>
      </c>
      <c r="G8">
        <v>-0.94427836842234192</v>
      </c>
    </row>
    <row r="9" spans="1:7" x14ac:dyDescent="0.45">
      <c r="A9">
        <v>-2.6016000000000001E-2</v>
      </c>
      <c r="B9">
        <v>88015.8</v>
      </c>
      <c r="C9">
        <v>-13309.2</v>
      </c>
      <c r="G9">
        <v>-0.97068012087606848</v>
      </c>
    </row>
    <row r="10" spans="1:7" x14ac:dyDescent="0.45">
      <c r="A10">
        <v>-2.2216400000000001E-2</v>
      </c>
      <c r="B10">
        <v>89378.4</v>
      </c>
      <c r="C10">
        <v>-11946.600000000009</v>
      </c>
      <c r="G10">
        <v>-0.87130159078367198</v>
      </c>
    </row>
    <row r="11" spans="1:7" x14ac:dyDescent="0.45">
      <c r="A11">
        <v>8.1279299999999999E-2</v>
      </c>
      <c r="B11">
        <v>99061.2</v>
      </c>
      <c r="C11">
        <v>-2263.8000000000029</v>
      </c>
      <c r="G11">
        <v>-0.16510576575896729</v>
      </c>
    </row>
    <row r="12" spans="1:7" x14ac:dyDescent="0.45">
      <c r="A12">
        <v>7.3956800000000003E-2</v>
      </c>
      <c r="B12">
        <v>98361.7</v>
      </c>
      <c r="C12">
        <v>-2963.3000000000029</v>
      </c>
      <c r="G12">
        <v>-0.21612241172963489</v>
      </c>
    </row>
    <row r="13" spans="1:7" x14ac:dyDescent="0.45">
      <c r="A13">
        <v>-3.7356300000000002E-2</v>
      </c>
      <c r="B13">
        <v>103049</v>
      </c>
      <c r="C13">
        <v>1724</v>
      </c>
      <c r="G13">
        <v>0.12573652273542679</v>
      </c>
    </row>
    <row r="14" spans="1:7" x14ac:dyDescent="0.45">
      <c r="A14">
        <v>-3.5689600000000002E-2</v>
      </c>
      <c r="B14">
        <v>101690</v>
      </c>
      <c r="C14">
        <v>365</v>
      </c>
      <c r="G14">
        <v>2.6620551507210429E-2</v>
      </c>
    </row>
    <row r="15" spans="1:7" x14ac:dyDescent="0.45">
      <c r="A15">
        <v>9.2838599999999993E-2</v>
      </c>
      <c r="B15">
        <v>101143</v>
      </c>
      <c r="C15">
        <v>-182</v>
      </c>
      <c r="G15">
        <v>-1.327380924469123E-2</v>
      </c>
    </row>
    <row r="16" spans="1:7" x14ac:dyDescent="0.45">
      <c r="A16">
        <v>9.8296599999999998E-2</v>
      </c>
      <c r="B16">
        <v>101957</v>
      </c>
      <c r="C16">
        <v>632</v>
      </c>
      <c r="G16">
        <v>4.6093667267279433E-2</v>
      </c>
    </row>
    <row r="17" spans="1:7" x14ac:dyDescent="0.45">
      <c r="A17">
        <v>8.6670899999999995E-2</v>
      </c>
      <c r="B17">
        <v>101027</v>
      </c>
      <c r="C17">
        <v>-298</v>
      </c>
      <c r="G17">
        <v>-2.1734039312736191E-2</v>
      </c>
    </row>
    <row r="18" spans="1:7" x14ac:dyDescent="0.45">
      <c r="A18">
        <v>7.9800399999999994E-2</v>
      </c>
      <c r="B18">
        <v>100342</v>
      </c>
      <c r="C18">
        <v>-983</v>
      </c>
      <c r="G18">
        <v>-7.169315652489823E-2</v>
      </c>
    </row>
    <row r="19" spans="1:7" x14ac:dyDescent="0.45">
      <c r="A19">
        <v>0.11855300000000001</v>
      </c>
      <c r="B19">
        <v>110039</v>
      </c>
      <c r="C19">
        <v>8714</v>
      </c>
      <c r="G19">
        <v>0.63553831735296351</v>
      </c>
    </row>
    <row r="20" spans="1:7" x14ac:dyDescent="0.45">
      <c r="A20">
        <v>0.116517</v>
      </c>
      <c r="B20">
        <v>103314</v>
      </c>
      <c r="C20">
        <v>1989</v>
      </c>
      <c r="G20">
        <v>0.1450637724598399</v>
      </c>
    </row>
    <row r="21" spans="1:7" x14ac:dyDescent="0.45">
      <c r="A21">
        <v>0.12024899999999999</v>
      </c>
      <c r="B21">
        <v>102501</v>
      </c>
      <c r="C21">
        <v>1176</v>
      </c>
      <c r="G21">
        <v>8.5769228965697164E-2</v>
      </c>
    </row>
    <row r="22" spans="1:7" x14ac:dyDescent="0.45">
      <c r="A22">
        <v>0.121658</v>
      </c>
      <c r="B22">
        <v>114296</v>
      </c>
      <c r="C22">
        <v>12971</v>
      </c>
      <c r="G22">
        <v>0.94601417424664791</v>
      </c>
    </row>
    <row r="23" spans="1:7" x14ac:dyDescent="0.45">
      <c r="A23">
        <v>2.2694200000000001E-2</v>
      </c>
      <c r="B23">
        <v>93810.4</v>
      </c>
      <c r="C23">
        <v>-7514.6000000000058</v>
      </c>
      <c r="G23">
        <v>-0.54806245577009227</v>
      </c>
    </row>
    <row r="24" spans="1:7" x14ac:dyDescent="0.45">
      <c r="A24">
        <v>1.4444E-2</v>
      </c>
      <c r="B24">
        <v>92947.1</v>
      </c>
      <c r="C24">
        <v>-8377.8999999999942</v>
      </c>
      <c r="G24">
        <v>-0.61102553006098115</v>
      </c>
    </row>
    <row r="25" spans="1:7" x14ac:dyDescent="0.45">
      <c r="A25">
        <v>3.1312600000000003E-2</v>
      </c>
      <c r="B25">
        <v>94602</v>
      </c>
      <c r="C25">
        <v>-6723</v>
      </c>
      <c r="G25">
        <v>-0.49032867885746773</v>
      </c>
    </row>
    <row r="26" spans="1:7" x14ac:dyDescent="0.45">
      <c r="A26">
        <v>4.0136400000000003E-2</v>
      </c>
      <c r="B26">
        <v>95348.2</v>
      </c>
      <c r="C26">
        <v>-5976.8000000000029</v>
      </c>
      <c r="G26">
        <v>-0.4359060609542339</v>
      </c>
    </row>
    <row r="27" spans="1:7" x14ac:dyDescent="0.45">
      <c r="A27">
        <v>4.8986799999999997E-2</v>
      </c>
      <c r="B27">
        <v>96208.8</v>
      </c>
      <c r="C27">
        <v>-5116.1999999999971</v>
      </c>
      <c r="G27">
        <v>-0.37313990581147932</v>
      </c>
    </row>
    <row r="28" spans="1:7" x14ac:dyDescent="0.45">
      <c r="A28">
        <v>5.7682400000000002E-2</v>
      </c>
      <c r="B28">
        <v>96956.9</v>
      </c>
      <c r="C28">
        <v>-4368.1000000000058</v>
      </c>
      <c r="G28">
        <v>-0.3185787151743727</v>
      </c>
    </row>
    <row r="29" spans="1:7" x14ac:dyDescent="0.45">
      <c r="A29">
        <v>6.6054000000000002E-2</v>
      </c>
      <c r="B29">
        <v>97687.8</v>
      </c>
      <c r="C29">
        <v>-3637.1999999999971</v>
      </c>
      <c r="G29">
        <v>-0.26527197244390599</v>
      </c>
    </row>
    <row r="30" spans="1:7" x14ac:dyDescent="0.45">
      <c r="A30">
        <v>-4.0419900000000002E-2</v>
      </c>
      <c r="B30">
        <v>113790</v>
      </c>
      <c r="C30">
        <v>12465</v>
      </c>
      <c r="G30">
        <v>0.90911006722569321</v>
      </c>
    </row>
    <row r="31" spans="1:7" x14ac:dyDescent="0.45">
      <c r="A31">
        <v>-3.9683499999999997E-2</v>
      </c>
      <c r="B31">
        <v>107974</v>
      </c>
      <c r="C31">
        <v>6649</v>
      </c>
      <c r="G31">
        <v>0.48493163553819768</v>
      </c>
    </row>
    <row r="32" spans="1:7" x14ac:dyDescent="0.45">
      <c r="A32">
        <v>0.107186</v>
      </c>
      <c r="B32">
        <v>102140</v>
      </c>
      <c r="C32">
        <v>815</v>
      </c>
      <c r="G32">
        <v>5.9440409529798642E-2</v>
      </c>
    </row>
    <row r="33" spans="1:7" x14ac:dyDescent="0.45">
      <c r="A33">
        <v>0.11071300000000001</v>
      </c>
      <c r="B33">
        <v>104201</v>
      </c>
      <c r="C33">
        <v>2876</v>
      </c>
      <c r="G33">
        <v>0.20975535927325259</v>
      </c>
    </row>
    <row r="34" spans="1:7" x14ac:dyDescent="0.45">
      <c r="A34">
        <v>0.103065</v>
      </c>
      <c r="B34">
        <v>102652</v>
      </c>
      <c r="C34">
        <v>1327</v>
      </c>
      <c r="G34">
        <v>9.6782114657721213E-2</v>
      </c>
    </row>
    <row r="35" spans="1:7" x14ac:dyDescent="0.45">
      <c r="A35">
        <v>3.76738E-2</v>
      </c>
      <c r="B35">
        <v>98112</v>
      </c>
      <c r="C35">
        <v>-3213</v>
      </c>
      <c r="G35">
        <v>-0.23433378628127979</v>
      </c>
    </row>
    <row r="36" spans="1:7" x14ac:dyDescent="0.45">
      <c r="A36">
        <v>4.6691799999999999E-2</v>
      </c>
      <c r="B36">
        <v>98571.8</v>
      </c>
      <c r="C36">
        <v>-2753.1999999999971</v>
      </c>
      <c r="G36">
        <v>-0.2007991846839772</v>
      </c>
    </row>
    <row r="37" spans="1:7" x14ac:dyDescent="0.45">
      <c r="A37">
        <v>-9.5662899999999999E-3</v>
      </c>
      <c r="B37">
        <v>96541.1</v>
      </c>
      <c r="C37">
        <v>-4783.8999999999942</v>
      </c>
      <c r="G37">
        <v>-0.34890426398724328</v>
      </c>
    </row>
    <row r="38" spans="1:7" x14ac:dyDescent="0.45">
      <c r="A38">
        <v>-3.1673000000000001E-3</v>
      </c>
      <c r="B38">
        <v>96654</v>
      </c>
      <c r="C38">
        <v>-4671</v>
      </c>
      <c r="G38">
        <v>-0.34067012627446552</v>
      </c>
    </row>
    <row r="39" spans="1:7" x14ac:dyDescent="0.45">
      <c r="A39">
        <v>-3.1100800000000001E-2</v>
      </c>
      <c r="B39">
        <v>98400</v>
      </c>
      <c r="C39">
        <v>-2925</v>
      </c>
      <c r="G39">
        <v>-0.21332907714682331</v>
      </c>
    </row>
    <row r="40" spans="1:7" x14ac:dyDescent="0.45">
      <c r="A40">
        <v>-2.8060600000000002E-2</v>
      </c>
      <c r="B40">
        <v>97711.4</v>
      </c>
      <c r="C40">
        <v>-3613.6000000000058</v>
      </c>
      <c r="G40">
        <v>-0.26355075322316651</v>
      </c>
    </row>
    <row r="41" spans="1:7" x14ac:dyDescent="0.45">
      <c r="A41">
        <v>2.8714E-2</v>
      </c>
      <c r="B41">
        <v>97683.199999999997</v>
      </c>
      <c r="C41">
        <v>-3641.8000000000029</v>
      </c>
      <c r="G41">
        <v>-0.26560746432591509</v>
      </c>
    </row>
    <row r="42" spans="1:7" x14ac:dyDescent="0.45">
      <c r="A42">
        <v>1.9998499999999999E-2</v>
      </c>
      <c r="B42">
        <v>97281.9</v>
      </c>
      <c r="C42">
        <v>-4043.1000000000058</v>
      </c>
      <c r="G42">
        <v>-0.29487548438028122</v>
      </c>
    </row>
    <row r="43" spans="1:7" x14ac:dyDescent="0.45">
      <c r="A43">
        <v>1.1694700000000001E-2</v>
      </c>
      <c r="B43">
        <v>97026.6</v>
      </c>
      <c r="C43">
        <v>-4298.3999999999942</v>
      </c>
      <c r="G43">
        <v>-0.31349528383176212</v>
      </c>
    </row>
    <row r="44" spans="1:7" x14ac:dyDescent="0.45">
      <c r="A44">
        <v>3.9396300000000004E-3</v>
      </c>
      <c r="B44">
        <v>96602.7</v>
      </c>
      <c r="C44">
        <v>-4722.3000000000029</v>
      </c>
      <c r="G44">
        <v>-0.34441159008904082</v>
      </c>
    </row>
    <row r="45" spans="1:7" x14ac:dyDescent="0.45">
      <c r="A45">
        <v>-4.0884499999999997E-2</v>
      </c>
      <c r="B45">
        <v>106980</v>
      </c>
      <c r="C45">
        <v>5655</v>
      </c>
      <c r="G45">
        <v>0.41243621581719181</v>
      </c>
    </row>
    <row r="46" spans="1:7" x14ac:dyDescent="0.45">
      <c r="A46">
        <v>-4.1144699999999999E-2</v>
      </c>
      <c r="B46">
        <v>109534</v>
      </c>
      <c r="C46">
        <v>8209</v>
      </c>
      <c r="G46">
        <v>0.59870714334983677</v>
      </c>
    </row>
    <row r="47" spans="1:7" x14ac:dyDescent="0.45">
      <c r="A47">
        <v>-4.04312E-2</v>
      </c>
      <c r="B47">
        <v>102253</v>
      </c>
      <c r="C47">
        <v>928</v>
      </c>
      <c r="G47">
        <v>6.7681840544359675E-2</v>
      </c>
    </row>
    <row r="48" spans="1:7" x14ac:dyDescent="0.45">
      <c r="A48">
        <v>-3.9751000000000002E-2</v>
      </c>
      <c r="B48">
        <v>100307</v>
      </c>
      <c r="C48">
        <v>-1018</v>
      </c>
      <c r="G48">
        <v>-7.4245812148877308E-2</v>
      </c>
    </row>
    <row r="49" spans="1:7" x14ac:dyDescent="0.45">
      <c r="A49">
        <v>-3.8819800000000002E-2</v>
      </c>
      <c r="B49">
        <v>94923.7</v>
      </c>
      <c r="C49">
        <v>-6401.3000000000029</v>
      </c>
      <c r="G49">
        <v>-0.46686612702220881</v>
      </c>
    </row>
    <row r="50" spans="1:7" x14ac:dyDescent="0.45">
      <c r="A50">
        <v>-3.7612399999999997E-2</v>
      </c>
      <c r="B50">
        <v>91736.8</v>
      </c>
      <c r="C50">
        <v>-9588.1999999999971</v>
      </c>
      <c r="G50">
        <v>-0.69929636153817798</v>
      </c>
    </row>
    <row r="51" spans="1:7" x14ac:dyDescent="0.45">
      <c r="A51">
        <v>6.69683E-3</v>
      </c>
      <c r="B51">
        <v>92050.9</v>
      </c>
      <c r="C51">
        <v>-9274.1000000000058</v>
      </c>
      <c r="G51">
        <v>-0.67638810063841204</v>
      </c>
    </row>
    <row r="52" spans="1:7" x14ac:dyDescent="0.45">
      <c r="A52">
        <v>9.9208299999999999E-2</v>
      </c>
      <c r="B52">
        <v>100804</v>
      </c>
      <c r="C52">
        <v>-521</v>
      </c>
      <c r="G52">
        <v>-3.7998102288374337E-2</v>
      </c>
    </row>
    <row r="53" spans="1:7" x14ac:dyDescent="0.45">
      <c r="A53">
        <v>9.3925599999999998E-2</v>
      </c>
      <c r="B53">
        <v>100279</v>
      </c>
      <c r="C53">
        <v>-1046</v>
      </c>
      <c r="G53">
        <v>-7.6287936648060578E-2</v>
      </c>
    </row>
    <row r="54" spans="1:7" x14ac:dyDescent="0.45">
      <c r="A54">
        <v>-1.52348E-2</v>
      </c>
      <c r="B54">
        <v>96623.3</v>
      </c>
      <c r="C54">
        <v>-4701.6999999999971</v>
      </c>
      <c r="G54">
        <v>-0.34290916992178411</v>
      </c>
    </row>
    <row r="55" spans="1:7" x14ac:dyDescent="0.45">
      <c r="A55">
        <v>-2.0181899999999999E-2</v>
      </c>
      <c r="B55">
        <v>96624</v>
      </c>
      <c r="C55">
        <v>-4701</v>
      </c>
      <c r="G55">
        <v>-0.34285811680930478</v>
      </c>
    </row>
    <row r="56" spans="1:7" x14ac:dyDescent="0.45">
      <c r="A56">
        <v>-2.44406E-2</v>
      </c>
      <c r="B56">
        <v>97007.5</v>
      </c>
      <c r="C56">
        <v>-4317.5</v>
      </c>
      <c r="G56">
        <v>-0.31488830447227678</v>
      </c>
    </row>
    <row r="57" spans="1:7" x14ac:dyDescent="0.45">
      <c r="A57">
        <v>0.10381899999999999</v>
      </c>
      <c r="B57">
        <v>101974</v>
      </c>
      <c r="C57">
        <v>649</v>
      </c>
      <c r="G57">
        <v>4.7333528570354992E-2</v>
      </c>
    </row>
    <row r="58" spans="1:7" x14ac:dyDescent="0.45">
      <c r="A58">
        <v>0.107798</v>
      </c>
      <c r="B58">
        <v>101719</v>
      </c>
      <c r="C58">
        <v>394</v>
      </c>
      <c r="G58">
        <v>2.8735609024221669E-2</v>
      </c>
    </row>
    <row r="59" spans="1:7" x14ac:dyDescent="0.45">
      <c r="A59">
        <v>0.11120099999999999</v>
      </c>
      <c r="B59">
        <v>103777</v>
      </c>
      <c r="C59">
        <v>2452</v>
      </c>
      <c r="G59">
        <v>0.17883175971419171</v>
      </c>
    </row>
    <row r="60" spans="1:7" x14ac:dyDescent="0.45">
      <c r="A60">
        <v>0.11408699999999999</v>
      </c>
      <c r="B60">
        <v>104028</v>
      </c>
      <c r="C60">
        <v>2703</v>
      </c>
      <c r="G60">
        <v>0.19713794718901309</v>
      </c>
    </row>
    <row r="61" spans="1:7" x14ac:dyDescent="0.45">
      <c r="A61">
        <v>-1.7793699999999999E-2</v>
      </c>
      <c r="B61">
        <v>89437.5</v>
      </c>
      <c r="C61">
        <v>-11887.5</v>
      </c>
      <c r="G61">
        <v>-0.86699124943003836</v>
      </c>
    </row>
    <row r="62" spans="1:7" x14ac:dyDescent="0.45">
      <c r="A62">
        <v>-1.27049E-2</v>
      </c>
      <c r="B62">
        <v>90004.6</v>
      </c>
      <c r="C62">
        <v>-11320.399999999991</v>
      </c>
      <c r="G62">
        <v>-0.82563093501979401</v>
      </c>
    </row>
    <row r="63" spans="1:7" x14ac:dyDescent="0.45">
      <c r="A63">
        <v>-6.92334E-3</v>
      </c>
      <c r="B63">
        <v>90628</v>
      </c>
      <c r="C63">
        <v>-10697</v>
      </c>
      <c r="G63">
        <v>-0.78016449170583557</v>
      </c>
    </row>
    <row r="64" spans="1:7" x14ac:dyDescent="0.45">
      <c r="A64">
        <v>-4.46744E-4</v>
      </c>
      <c r="B64">
        <v>91441.5</v>
      </c>
      <c r="C64">
        <v>-9883.5</v>
      </c>
      <c r="G64">
        <v>-0.72083348170277894</v>
      </c>
    </row>
    <row r="65" spans="1:7" x14ac:dyDescent="0.45">
      <c r="A65">
        <v>8.7947899999999996E-2</v>
      </c>
      <c r="B65">
        <v>99681.5</v>
      </c>
      <c r="C65">
        <v>-1643.5</v>
      </c>
      <c r="G65">
        <v>-0.11986541480027491</v>
      </c>
    </row>
    <row r="66" spans="1:7" x14ac:dyDescent="0.45">
      <c r="A66">
        <v>7.2268399999999997E-2</v>
      </c>
      <c r="B66">
        <v>99923.9</v>
      </c>
      <c r="C66">
        <v>-1401.100000000006</v>
      </c>
      <c r="G66">
        <v>-0.1021864512787745</v>
      </c>
    </row>
    <row r="67" spans="1:7" x14ac:dyDescent="0.45">
      <c r="A67">
        <v>6.4154799999999998E-2</v>
      </c>
      <c r="B67">
        <v>99485.3</v>
      </c>
      <c r="C67">
        <v>-1839.6999999999971</v>
      </c>
      <c r="G67">
        <v>-0.13417487289812319</v>
      </c>
    </row>
    <row r="68" spans="1:7" x14ac:dyDescent="0.45">
      <c r="A68">
        <v>5.5578200000000001E-2</v>
      </c>
      <c r="B68">
        <v>98966.2</v>
      </c>
      <c r="C68">
        <v>-2358.8000000000029</v>
      </c>
      <c r="G68">
        <v>-0.1720344024526248</v>
      </c>
    </row>
    <row r="69" spans="1:7" x14ac:dyDescent="0.45">
      <c r="A69">
        <v>0.122822</v>
      </c>
      <c r="B69">
        <v>120461</v>
      </c>
      <c r="C69">
        <v>19136</v>
      </c>
      <c r="G69">
        <v>1.395646229156106</v>
      </c>
    </row>
    <row r="70" spans="1:7" x14ac:dyDescent="0.45">
      <c r="A70">
        <v>-3.86735E-2</v>
      </c>
      <c r="B70">
        <v>106998</v>
      </c>
      <c r="C70">
        <v>5673</v>
      </c>
      <c r="G70">
        <v>0.41374901013809529</v>
      </c>
    </row>
    <row r="71" spans="1:7" x14ac:dyDescent="0.45">
      <c r="A71">
        <v>0.12010800000000001</v>
      </c>
      <c r="B71">
        <v>104676</v>
      </c>
      <c r="C71">
        <v>3351</v>
      </c>
      <c r="G71">
        <v>0.24439854274154019</v>
      </c>
    </row>
    <row r="72" spans="1:7" x14ac:dyDescent="0.45">
      <c r="A72">
        <v>0.118344</v>
      </c>
      <c r="B72">
        <v>110431</v>
      </c>
      <c r="C72">
        <v>9106</v>
      </c>
      <c r="G72">
        <v>0.66412806034152927</v>
      </c>
    </row>
    <row r="73" spans="1:7" x14ac:dyDescent="0.45">
      <c r="A73">
        <v>0.11623</v>
      </c>
      <c r="B73">
        <v>105082</v>
      </c>
      <c r="C73">
        <v>3757</v>
      </c>
      <c r="G73">
        <v>0.2740093479796975</v>
      </c>
    </row>
    <row r="74" spans="1:7" x14ac:dyDescent="0.45">
      <c r="A74">
        <v>0.113707</v>
      </c>
      <c r="B74">
        <v>103195</v>
      </c>
      <c r="C74">
        <v>1870</v>
      </c>
      <c r="G74">
        <v>0.13638474333831099</v>
      </c>
    </row>
    <row r="75" spans="1:7" x14ac:dyDescent="0.45">
      <c r="A75">
        <v>-4.0910599999999998E-2</v>
      </c>
      <c r="B75">
        <v>111208</v>
      </c>
      <c r="C75">
        <v>9883</v>
      </c>
      <c r="G75">
        <v>0.72079701519386485</v>
      </c>
    </row>
    <row r="76" spans="1:7" x14ac:dyDescent="0.45">
      <c r="A76">
        <v>-4.1184499999999999E-2</v>
      </c>
      <c r="B76">
        <v>116855</v>
      </c>
      <c r="C76">
        <v>15530</v>
      </c>
      <c r="G76">
        <v>1.132649766868433</v>
      </c>
    </row>
    <row r="77" spans="1:7" x14ac:dyDescent="0.45">
      <c r="A77">
        <v>-4.1283E-2</v>
      </c>
      <c r="B77">
        <v>111488</v>
      </c>
      <c r="C77">
        <v>10163</v>
      </c>
      <c r="G77">
        <v>0.74121826018569759</v>
      </c>
    </row>
    <row r="78" spans="1:7" x14ac:dyDescent="0.45">
      <c r="A78">
        <v>-4.1261199999999998E-2</v>
      </c>
      <c r="B78">
        <v>111449</v>
      </c>
      <c r="C78">
        <v>10124</v>
      </c>
      <c r="G78">
        <v>0.73837387249040654</v>
      </c>
    </row>
    <row r="79" spans="1:7" x14ac:dyDescent="0.45">
      <c r="A79">
        <v>-3.3623399999999998E-2</v>
      </c>
      <c r="B79">
        <v>99386.3</v>
      </c>
      <c r="C79">
        <v>-1938.6999999999971</v>
      </c>
      <c r="G79">
        <v>-0.14139524166309261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9"/>
  <sheetViews>
    <sheetView workbookViewId="0"/>
  </sheetViews>
  <sheetFormatPr defaultRowHeight="17" x14ac:dyDescent="0.45"/>
  <sheetData>
    <row r="1" spans="1:2" x14ac:dyDescent="0.45">
      <c r="A1" t="s">
        <v>0</v>
      </c>
      <c r="B1" t="s">
        <v>1</v>
      </c>
    </row>
    <row r="2" spans="1:2" x14ac:dyDescent="0.45">
      <c r="A2">
        <v>0.122784</v>
      </c>
      <c r="B2">
        <v>122143</v>
      </c>
    </row>
    <row r="3" spans="1:2" x14ac:dyDescent="0.45">
      <c r="A3">
        <v>0.12378400000000001</v>
      </c>
      <c r="B3">
        <v>99926.8</v>
      </c>
    </row>
    <row r="4" spans="1:2" x14ac:dyDescent="0.45">
      <c r="A4">
        <v>0.121572</v>
      </c>
      <c r="B4">
        <v>114254</v>
      </c>
    </row>
    <row r="5" spans="1:2" x14ac:dyDescent="0.45">
      <c r="A5">
        <v>-3.4229799999999998E-2</v>
      </c>
      <c r="B5">
        <v>88345.1</v>
      </c>
    </row>
    <row r="6" spans="1:2" x14ac:dyDescent="0.45">
      <c r="A6">
        <v>-3.6096099999999999E-2</v>
      </c>
      <c r="B6">
        <v>88939.8</v>
      </c>
    </row>
    <row r="7" spans="1:2" x14ac:dyDescent="0.45">
      <c r="A7">
        <v>-3.1964699999999999E-2</v>
      </c>
      <c r="B7">
        <v>88048.1</v>
      </c>
    </row>
    <row r="8" spans="1:2" x14ac:dyDescent="0.45">
      <c r="A8">
        <v>-2.9246100000000001E-2</v>
      </c>
      <c r="B8">
        <v>88377.8</v>
      </c>
    </row>
    <row r="9" spans="1:2" x14ac:dyDescent="0.45">
      <c r="A9">
        <v>-2.6016000000000001E-2</v>
      </c>
      <c r="B9">
        <v>88015.8</v>
      </c>
    </row>
    <row r="10" spans="1:2" x14ac:dyDescent="0.45">
      <c r="A10">
        <v>-2.2216400000000001E-2</v>
      </c>
      <c r="B10">
        <v>89378.4</v>
      </c>
    </row>
    <row r="11" spans="1:2" x14ac:dyDescent="0.45">
      <c r="A11">
        <v>8.1279299999999999E-2</v>
      </c>
      <c r="B11">
        <v>99061.2</v>
      </c>
    </row>
    <row r="12" spans="1:2" x14ac:dyDescent="0.45">
      <c r="A12">
        <v>7.3956800000000003E-2</v>
      </c>
      <c r="B12">
        <v>98361.7</v>
      </c>
    </row>
    <row r="13" spans="1:2" x14ac:dyDescent="0.45">
      <c r="A13">
        <v>-3.7356300000000002E-2</v>
      </c>
      <c r="B13">
        <v>103049</v>
      </c>
    </row>
    <row r="14" spans="1:2" x14ac:dyDescent="0.45">
      <c r="A14">
        <v>-3.5689600000000002E-2</v>
      </c>
      <c r="B14">
        <v>101690</v>
      </c>
    </row>
    <row r="15" spans="1:2" x14ac:dyDescent="0.45">
      <c r="A15">
        <v>9.2838599999999993E-2</v>
      </c>
      <c r="B15">
        <v>101143</v>
      </c>
    </row>
    <row r="16" spans="1:2" x14ac:dyDescent="0.45">
      <c r="A16">
        <v>9.8296599999999998E-2</v>
      </c>
      <c r="B16">
        <v>101957</v>
      </c>
    </row>
    <row r="17" spans="1:2" x14ac:dyDescent="0.45">
      <c r="A17">
        <v>8.6670899999999995E-2</v>
      </c>
      <c r="B17">
        <v>101027</v>
      </c>
    </row>
    <row r="18" spans="1:2" x14ac:dyDescent="0.45">
      <c r="A18">
        <v>7.9800399999999994E-2</v>
      </c>
      <c r="B18">
        <v>100342</v>
      </c>
    </row>
    <row r="19" spans="1:2" x14ac:dyDescent="0.45">
      <c r="A19">
        <v>0.11855300000000001</v>
      </c>
      <c r="B19">
        <v>110039</v>
      </c>
    </row>
    <row r="20" spans="1:2" x14ac:dyDescent="0.45">
      <c r="A20">
        <v>0.116517</v>
      </c>
      <c r="B20">
        <v>103314</v>
      </c>
    </row>
    <row r="21" spans="1:2" x14ac:dyDescent="0.45">
      <c r="A21">
        <v>0.12024899999999999</v>
      </c>
      <c r="B21">
        <v>102501</v>
      </c>
    </row>
    <row r="22" spans="1:2" x14ac:dyDescent="0.45">
      <c r="A22">
        <v>0.121658</v>
      </c>
      <c r="B22">
        <v>114296</v>
      </c>
    </row>
    <row r="23" spans="1:2" x14ac:dyDescent="0.45">
      <c r="A23">
        <v>2.2694200000000001E-2</v>
      </c>
      <c r="B23">
        <v>93810.4</v>
      </c>
    </row>
    <row r="24" spans="1:2" x14ac:dyDescent="0.45">
      <c r="A24">
        <v>1.4444E-2</v>
      </c>
      <c r="B24">
        <v>92947.1</v>
      </c>
    </row>
    <row r="25" spans="1:2" x14ac:dyDescent="0.45">
      <c r="A25">
        <v>3.1312600000000003E-2</v>
      </c>
      <c r="B25">
        <v>94602</v>
      </c>
    </row>
    <row r="26" spans="1:2" x14ac:dyDescent="0.45">
      <c r="A26">
        <v>4.0136400000000003E-2</v>
      </c>
      <c r="B26">
        <v>95348.2</v>
      </c>
    </row>
    <row r="27" spans="1:2" x14ac:dyDescent="0.45">
      <c r="A27">
        <v>4.8986799999999997E-2</v>
      </c>
      <c r="B27">
        <v>96208.8</v>
      </c>
    </row>
    <row r="28" spans="1:2" x14ac:dyDescent="0.45">
      <c r="A28">
        <v>5.7682400000000002E-2</v>
      </c>
      <c r="B28">
        <v>96956.9</v>
      </c>
    </row>
    <row r="29" spans="1:2" x14ac:dyDescent="0.45">
      <c r="A29">
        <v>6.6054000000000002E-2</v>
      </c>
      <c r="B29">
        <v>97687.8</v>
      </c>
    </row>
    <row r="30" spans="1:2" x14ac:dyDescent="0.45">
      <c r="A30">
        <v>-4.0419900000000002E-2</v>
      </c>
      <c r="B30">
        <v>113790</v>
      </c>
    </row>
    <row r="31" spans="1:2" x14ac:dyDescent="0.45">
      <c r="A31">
        <v>-3.9683499999999997E-2</v>
      </c>
      <c r="B31">
        <v>107974</v>
      </c>
    </row>
    <row r="32" spans="1:2" x14ac:dyDescent="0.45">
      <c r="A32">
        <v>0.107186</v>
      </c>
      <c r="B32">
        <v>102140</v>
      </c>
    </row>
    <row r="33" spans="1:2" x14ac:dyDescent="0.45">
      <c r="A33">
        <v>0.11071300000000001</v>
      </c>
      <c r="B33">
        <v>104201</v>
      </c>
    </row>
    <row r="34" spans="1:2" x14ac:dyDescent="0.45">
      <c r="A34">
        <v>0.103065</v>
      </c>
      <c r="B34">
        <v>102652</v>
      </c>
    </row>
    <row r="35" spans="1:2" x14ac:dyDescent="0.45">
      <c r="A35">
        <v>3.76738E-2</v>
      </c>
      <c r="B35">
        <v>98112</v>
      </c>
    </row>
    <row r="36" spans="1:2" x14ac:dyDescent="0.45">
      <c r="A36">
        <v>4.6691799999999999E-2</v>
      </c>
      <c r="B36">
        <v>98571.8</v>
      </c>
    </row>
    <row r="37" spans="1:2" x14ac:dyDescent="0.45">
      <c r="A37">
        <v>-9.5662899999999999E-3</v>
      </c>
      <c r="B37">
        <v>96541.1</v>
      </c>
    </row>
    <row r="38" spans="1:2" x14ac:dyDescent="0.45">
      <c r="A38">
        <v>-3.1673000000000001E-3</v>
      </c>
      <c r="B38">
        <v>96654</v>
      </c>
    </row>
    <row r="39" spans="1:2" x14ac:dyDescent="0.45">
      <c r="A39">
        <v>-3.1100800000000001E-2</v>
      </c>
      <c r="B39">
        <v>98400</v>
      </c>
    </row>
    <row r="40" spans="1:2" x14ac:dyDescent="0.45">
      <c r="A40">
        <v>-2.8060600000000002E-2</v>
      </c>
      <c r="B40">
        <v>97711.4</v>
      </c>
    </row>
    <row r="41" spans="1:2" x14ac:dyDescent="0.45">
      <c r="A41">
        <v>2.8714E-2</v>
      </c>
      <c r="B41">
        <v>97683.199999999997</v>
      </c>
    </row>
    <row r="42" spans="1:2" x14ac:dyDescent="0.45">
      <c r="A42">
        <v>1.9998499999999999E-2</v>
      </c>
      <c r="B42">
        <v>97281.9</v>
      </c>
    </row>
    <row r="43" spans="1:2" x14ac:dyDescent="0.45">
      <c r="A43">
        <v>1.1694700000000001E-2</v>
      </c>
      <c r="B43">
        <v>97026.6</v>
      </c>
    </row>
    <row r="44" spans="1:2" x14ac:dyDescent="0.45">
      <c r="A44">
        <v>3.9396300000000004E-3</v>
      </c>
      <c r="B44">
        <v>96602.7</v>
      </c>
    </row>
    <row r="45" spans="1:2" x14ac:dyDescent="0.45">
      <c r="A45">
        <v>-4.0884499999999997E-2</v>
      </c>
      <c r="B45">
        <v>106980</v>
      </c>
    </row>
    <row r="46" spans="1:2" x14ac:dyDescent="0.45">
      <c r="A46">
        <v>-4.1144699999999999E-2</v>
      </c>
      <c r="B46">
        <v>109534</v>
      </c>
    </row>
    <row r="47" spans="1:2" x14ac:dyDescent="0.45">
      <c r="A47">
        <v>-4.04312E-2</v>
      </c>
      <c r="B47">
        <v>102253</v>
      </c>
    </row>
    <row r="48" spans="1:2" x14ac:dyDescent="0.45">
      <c r="A48">
        <v>-3.9751000000000002E-2</v>
      </c>
      <c r="B48">
        <v>100307</v>
      </c>
    </row>
    <row r="49" spans="1:2" x14ac:dyDescent="0.45">
      <c r="A49">
        <v>-3.8819800000000002E-2</v>
      </c>
      <c r="B49">
        <v>94923.7</v>
      </c>
    </row>
    <row r="50" spans="1:2" x14ac:dyDescent="0.45">
      <c r="A50">
        <v>-3.7612399999999997E-2</v>
      </c>
      <c r="B50">
        <v>91736.8</v>
      </c>
    </row>
    <row r="51" spans="1:2" x14ac:dyDescent="0.45">
      <c r="A51">
        <v>6.69683E-3</v>
      </c>
      <c r="B51">
        <v>92050.9</v>
      </c>
    </row>
    <row r="52" spans="1:2" x14ac:dyDescent="0.45">
      <c r="A52">
        <v>9.9208299999999999E-2</v>
      </c>
      <c r="B52">
        <v>100804</v>
      </c>
    </row>
    <row r="53" spans="1:2" x14ac:dyDescent="0.45">
      <c r="A53">
        <v>9.3925599999999998E-2</v>
      </c>
      <c r="B53">
        <v>100279</v>
      </c>
    </row>
    <row r="54" spans="1:2" x14ac:dyDescent="0.45">
      <c r="A54">
        <v>-1.52348E-2</v>
      </c>
      <c r="B54">
        <v>96623.3</v>
      </c>
    </row>
    <row r="55" spans="1:2" x14ac:dyDescent="0.45">
      <c r="A55">
        <v>-2.0181899999999999E-2</v>
      </c>
      <c r="B55">
        <v>96624</v>
      </c>
    </row>
    <row r="56" spans="1:2" x14ac:dyDescent="0.45">
      <c r="A56">
        <v>-2.44406E-2</v>
      </c>
      <c r="B56">
        <v>97007.5</v>
      </c>
    </row>
    <row r="57" spans="1:2" x14ac:dyDescent="0.45">
      <c r="A57">
        <v>0.10381899999999999</v>
      </c>
      <c r="B57">
        <v>101974</v>
      </c>
    </row>
    <row r="58" spans="1:2" x14ac:dyDescent="0.45">
      <c r="A58">
        <v>0.107798</v>
      </c>
      <c r="B58">
        <v>101719</v>
      </c>
    </row>
    <row r="59" spans="1:2" x14ac:dyDescent="0.45">
      <c r="A59">
        <v>0.11120099999999999</v>
      </c>
      <c r="B59">
        <v>103777</v>
      </c>
    </row>
    <row r="60" spans="1:2" x14ac:dyDescent="0.45">
      <c r="A60">
        <v>0.11408699999999999</v>
      </c>
      <c r="B60">
        <v>104028</v>
      </c>
    </row>
    <row r="61" spans="1:2" x14ac:dyDescent="0.45">
      <c r="A61">
        <v>-1.7793699999999999E-2</v>
      </c>
      <c r="B61">
        <v>89437.5</v>
      </c>
    </row>
    <row r="62" spans="1:2" x14ac:dyDescent="0.45">
      <c r="A62">
        <v>-1.27049E-2</v>
      </c>
      <c r="B62">
        <v>90004.6</v>
      </c>
    </row>
    <row r="63" spans="1:2" x14ac:dyDescent="0.45">
      <c r="A63">
        <v>-6.92334E-3</v>
      </c>
      <c r="B63">
        <v>90628</v>
      </c>
    </row>
    <row r="64" spans="1:2" x14ac:dyDescent="0.45">
      <c r="A64">
        <v>-4.46744E-4</v>
      </c>
      <c r="B64">
        <v>91441.5</v>
      </c>
    </row>
    <row r="65" spans="1:2" x14ac:dyDescent="0.45">
      <c r="A65">
        <v>8.7947899999999996E-2</v>
      </c>
      <c r="B65">
        <v>99681.5</v>
      </c>
    </row>
    <row r="66" spans="1:2" x14ac:dyDescent="0.45">
      <c r="A66">
        <v>7.2268399999999997E-2</v>
      </c>
      <c r="B66">
        <v>99923.9</v>
      </c>
    </row>
    <row r="67" spans="1:2" x14ac:dyDescent="0.45">
      <c r="A67">
        <v>6.4154799999999998E-2</v>
      </c>
      <c r="B67">
        <v>99485.3</v>
      </c>
    </row>
    <row r="68" spans="1:2" x14ac:dyDescent="0.45">
      <c r="A68">
        <v>5.5578200000000001E-2</v>
      </c>
      <c r="B68">
        <v>98966.2</v>
      </c>
    </row>
    <row r="69" spans="1:2" x14ac:dyDescent="0.45">
      <c r="A69">
        <v>0.122822</v>
      </c>
      <c r="B69">
        <v>120461</v>
      </c>
    </row>
    <row r="70" spans="1:2" x14ac:dyDescent="0.45">
      <c r="A70">
        <v>-3.86735E-2</v>
      </c>
      <c r="B70">
        <v>106998</v>
      </c>
    </row>
    <row r="71" spans="1:2" x14ac:dyDescent="0.45">
      <c r="A71">
        <v>0.12010800000000001</v>
      </c>
      <c r="B71">
        <v>104676</v>
      </c>
    </row>
    <row r="72" spans="1:2" x14ac:dyDescent="0.45">
      <c r="A72">
        <v>0.118344</v>
      </c>
      <c r="B72">
        <v>110431</v>
      </c>
    </row>
    <row r="73" spans="1:2" x14ac:dyDescent="0.45">
      <c r="A73">
        <v>0.11623</v>
      </c>
      <c r="B73">
        <v>105082</v>
      </c>
    </row>
    <row r="74" spans="1:2" x14ac:dyDescent="0.45">
      <c r="A74">
        <v>0.113707</v>
      </c>
      <c r="B74">
        <v>103195</v>
      </c>
    </row>
    <row r="75" spans="1:2" x14ac:dyDescent="0.45">
      <c r="A75">
        <v>-4.0910599999999998E-2</v>
      </c>
      <c r="B75">
        <v>111208</v>
      </c>
    </row>
    <row r="76" spans="1:2" x14ac:dyDescent="0.45">
      <c r="A76">
        <v>-4.1184499999999999E-2</v>
      </c>
      <c r="B76">
        <v>116855</v>
      </c>
    </row>
    <row r="77" spans="1:2" x14ac:dyDescent="0.45">
      <c r="A77">
        <v>-4.1283E-2</v>
      </c>
      <c r="B77">
        <v>111488</v>
      </c>
    </row>
    <row r="78" spans="1:2" x14ac:dyDescent="0.45">
      <c r="A78">
        <v>-4.1261199999999998E-2</v>
      </c>
      <c r="B78">
        <v>111449</v>
      </c>
    </row>
    <row r="79" spans="1:2" x14ac:dyDescent="0.45">
      <c r="A79">
        <v>-3.3623399999999998E-2</v>
      </c>
      <c r="B79">
        <v>99386.3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80"/>
  <sheetViews>
    <sheetView tabSelected="1" workbookViewId="0">
      <selection activeCell="R15" sqref="R15"/>
    </sheetView>
  </sheetViews>
  <sheetFormatPr defaultRowHeight="17" x14ac:dyDescent="0.45"/>
  <sheetData>
    <row r="1" spans="1:8" x14ac:dyDescent="0.45">
      <c r="A1" t="s">
        <v>10</v>
      </c>
      <c r="B1" t="s">
        <v>0</v>
      </c>
      <c r="C1" t="s">
        <v>5</v>
      </c>
      <c r="G1" t="s">
        <v>0</v>
      </c>
      <c r="H1" t="s">
        <v>5</v>
      </c>
    </row>
    <row r="2" spans="1:8" x14ac:dyDescent="0.45">
      <c r="A2">
        <v>2</v>
      </c>
      <c r="B2">
        <v>0.122784</v>
      </c>
      <c r="C2">
        <v>1.5183195651427579</v>
      </c>
      <c r="E2">
        <f>MAX(B2:B80)</f>
        <v>0.12378400000000001</v>
      </c>
      <c r="G2">
        <f t="shared" ref="G2:G40" si="0">(B2-$E$3)/$E$4</f>
        <v>0.99394185391386525</v>
      </c>
      <c r="H2">
        <f t="shared" ref="H2:H40" si="1">C2</f>
        <v>1.5183195651427579</v>
      </c>
    </row>
    <row r="3" spans="1:8" x14ac:dyDescent="0.45">
      <c r="A3">
        <v>2</v>
      </c>
      <c r="B3">
        <v>0.121572</v>
      </c>
      <c r="C3">
        <v>0.94295098749787309</v>
      </c>
      <c r="E3">
        <f>MIN(B2:B80)</f>
        <v>-4.1283E-2</v>
      </c>
      <c r="G3">
        <f t="shared" si="0"/>
        <v>0.9865993808574699</v>
      </c>
      <c r="H3">
        <f t="shared" si="1"/>
        <v>0.94295098749787309</v>
      </c>
    </row>
    <row r="4" spans="1:8" x14ac:dyDescent="0.45">
      <c r="A4">
        <v>2</v>
      </c>
      <c r="B4">
        <v>0.12010800000000001</v>
      </c>
      <c r="C4">
        <v>0.24439854274154019</v>
      </c>
      <c r="E4">
        <f>E2-E3</f>
        <v>0.16506700000000002</v>
      </c>
      <c r="G4">
        <f t="shared" si="0"/>
        <v>0.97773025498736865</v>
      </c>
      <c r="H4">
        <f t="shared" si="1"/>
        <v>0.24439854274154019</v>
      </c>
    </row>
    <row r="5" spans="1:8" x14ac:dyDescent="0.45">
      <c r="A5">
        <v>2</v>
      </c>
      <c r="B5">
        <v>0.118344</v>
      </c>
      <c r="C5">
        <v>0.66412806034152927</v>
      </c>
      <c r="G5">
        <f t="shared" si="0"/>
        <v>0.96704368529142715</v>
      </c>
      <c r="H5">
        <f t="shared" si="1"/>
        <v>0.66412806034152927</v>
      </c>
    </row>
    <row r="6" spans="1:8" x14ac:dyDescent="0.45">
      <c r="A6">
        <v>2</v>
      </c>
      <c r="B6">
        <v>0.11623</v>
      </c>
      <c r="C6">
        <v>0.2740093479796975</v>
      </c>
      <c r="G6">
        <f t="shared" si="0"/>
        <v>0.95423676446533834</v>
      </c>
      <c r="H6">
        <f t="shared" si="1"/>
        <v>0.2740093479796975</v>
      </c>
    </row>
    <row r="7" spans="1:8" x14ac:dyDescent="0.45">
      <c r="A7">
        <v>2</v>
      </c>
      <c r="B7">
        <v>0.113707</v>
      </c>
      <c r="C7">
        <v>0.13638474333831099</v>
      </c>
      <c r="G7">
        <f t="shared" si="0"/>
        <v>0.93895206189002045</v>
      </c>
      <c r="H7">
        <f t="shared" si="1"/>
        <v>0.13638474333831099</v>
      </c>
    </row>
    <row r="8" spans="1:8" x14ac:dyDescent="0.45">
      <c r="A8">
        <v>2</v>
      </c>
      <c r="B8">
        <v>0.11071300000000001</v>
      </c>
      <c r="C8">
        <v>0.20975535927325259</v>
      </c>
      <c r="G8">
        <f t="shared" si="0"/>
        <v>0.92081397250813313</v>
      </c>
      <c r="H8">
        <f t="shared" si="1"/>
        <v>0.20975535927325259</v>
      </c>
    </row>
    <row r="9" spans="1:8" x14ac:dyDescent="0.45">
      <c r="A9">
        <v>2</v>
      </c>
      <c r="B9">
        <v>0.107186</v>
      </c>
      <c r="C9">
        <v>5.9440409529798642E-2</v>
      </c>
      <c r="G9">
        <f t="shared" si="0"/>
        <v>0.8994468912623359</v>
      </c>
      <c r="H9">
        <f t="shared" si="1"/>
        <v>5.9440409529798642E-2</v>
      </c>
    </row>
    <row r="10" spans="1:8" x14ac:dyDescent="0.45">
      <c r="A10">
        <v>2</v>
      </c>
      <c r="B10">
        <v>0.103065</v>
      </c>
      <c r="C10">
        <v>9.6782114657721213E-2</v>
      </c>
      <c r="G10">
        <f t="shared" si="0"/>
        <v>0.87448127124137465</v>
      </c>
      <c r="H10">
        <f t="shared" si="1"/>
        <v>9.6782114657721213E-2</v>
      </c>
    </row>
    <row r="11" spans="1:8" x14ac:dyDescent="0.45">
      <c r="A11">
        <v>2</v>
      </c>
      <c r="B11">
        <v>9.8296599999999998E-2</v>
      </c>
      <c r="C11">
        <v>4.6093667267279433E-2</v>
      </c>
      <c r="G11">
        <f t="shared" si="0"/>
        <v>0.84559360744424983</v>
      </c>
      <c r="H11">
        <f t="shared" si="1"/>
        <v>4.6093667267279433E-2</v>
      </c>
    </row>
    <row r="12" spans="1:8" x14ac:dyDescent="0.45">
      <c r="A12">
        <v>2</v>
      </c>
      <c r="B12">
        <v>9.2838599999999993E-2</v>
      </c>
      <c r="C12">
        <v>-1.327380924469123E-2</v>
      </c>
      <c r="G12">
        <f t="shared" si="0"/>
        <v>0.81252824610612651</v>
      </c>
      <c r="H12">
        <f t="shared" si="1"/>
        <v>-1.327380924469123E-2</v>
      </c>
    </row>
    <row r="13" spans="1:8" x14ac:dyDescent="0.45">
      <c r="A13">
        <v>2</v>
      </c>
      <c r="B13">
        <v>8.6670899999999995E-2</v>
      </c>
      <c r="C13">
        <v>-2.1734039312736191E-2</v>
      </c>
      <c r="G13">
        <f t="shared" si="0"/>
        <v>0.77516341849067349</v>
      </c>
      <c r="H13">
        <f t="shared" si="1"/>
        <v>-2.1734039312736191E-2</v>
      </c>
    </row>
    <row r="14" spans="1:8" x14ac:dyDescent="0.45">
      <c r="A14">
        <v>2</v>
      </c>
      <c r="B14">
        <v>7.9800399999999994E-2</v>
      </c>
      <c r="C14">
        <v>-7.169315652489823E-2</v>
      </c>
      <c r="G14">
        <f t="shared" si="0"/>
        <v>0.73354092580588481</v>
      </c>
      <c r="H14">
        <f t="shared" si="1"/>
        <v>-7.169315652489823E-2</v>
      </c>
    </row>
    <row r="15" spans="1:8" x14ac:dyDescent="0.45">
      <c r="A15">
        <v>2</v>
      </c>
      <c r="B15">
        <v>7.2268399999999997E-2</v>
      </c>
      <c r="C15">
        <v>-0.1021864512787745</v>
      </c>
      <c r="G15">
        <f t="shared" si="0"/>
        <v>0.6879109694851181</v>
      </c>
      <c r="H15">
        <f t="shared" si="1"/>
        <v>-0.1021864512787745</v>
      </c>
    </row>
    <row r="16" spans="1:8" x14ac:dyDescent="0.45">
      <c r="A16">
        <v>2</v>
      </c>
      <c r="B16">
        <v>6.4154799999999998E-2</v>
      </c>
      <c r="C16">
        <v>-0.13417487289812319</v>
      </c>
      <c r="G16">
        <f t="shared" si="0"/>
        <v>0.63875759540065535</v>
      </c>
      <c r="H16">
        <f t="shared" si="1"/>
        <v>-0.13417487289812319</v>
      </c>
    </row>
    <row r="17" spans="1:14" x14ac:dyDescent="0.45">
      <c r="A17">
        <v>2</v>
      </c>
      <c r="B17">
        <v>5.5578200000000001E-2</v>
      </c>
      <c r="C17">
        <v>-0.1720344024526248</v>
      </c>
      <c r="G17">
        <f t="shared" si="0"/>
        <v>0.58679929967831246</v>
      </c>
      <c r="H17">
        <f t="shared" si="1"/>
        <v>-0.1720344024526248</v>
      </c>
    </row>
    <row r="18" spans="1:14" x14ac:dyDescent="0.45">
      <c r="A18">
        <v>2</v>
      </c>
      <c r="B18">
        <v>4.6691799999999999E-2</v>
      </c>
      <c r="C18">
        <v>-0.2007991846839772</v>
      </c>
      <c r="G18">
        <f t="shared" si="0"/>
        <v>0.53296419029848474</v>
      </c>
      <c r="H18">
        <f t="shared" si="1"/>
        <v>-0.2007991846839772</v>
      </c>
    </row>
    <row r="19" spans="1:14" x14ac:dyDescent="0.45">
      <c r="A19">
        <v>2</v>
      </c>
      <c r="B19">
        <v>3.76738E-2</v>
      </c>
      <c r="C19">
        <v>-0.23433378628127979</v>
      </c>
      <c r="G19">
        <f t="shared" si="0"/>
        <v>0.47833182889372183</v>
      </c>
      <c r="H19">
        <f t="shared" si="1"/>
        <v>-0.23433378628127979</v>
      </c>
    </row>
    <row r="20" spans="1:14" x14ac:dyDescent="0.45">
      <c r="A20">
        <v>2</v>
      </c>
      <c r="B20">
        <v>2.8714E-2</v>
      </c>
      <c r="C20">
        <v>-0.26560746432591509</v>
      </c>
      <c r="G20">
        <f t="shared" si="0"/>
        <v>0.42405205159117204</v>
      </c>
      <c r="H20">
        <f t="shared" si="1"/>
        <v>-0.26560746432591509</v>
      </c>
    </row>
    <row r="21" spans="1:14" x14ac:dyDescent="0.45">
      <c r="A21">
        <v>2</v>
      </c>
      <c r="B21">
        <v>1.9998499999999999E-2</v>
      </c>
      <c r="C21">
        <v>-0.29487548438028122</v>
      </c>
      <c r="G21">
        <f t="shared" si="0"/>
        <v>0.37125227937746486</v>
      </c>
      <c r="H21">
        <f t="shared" si="1"/>
        <v>-0.29487548438028122</v>
      </c>
    </row>
    <row r="22" spans="1:14" x14ac:dyDescent="0.45">
      <c r="A22">
        <v>2</v>
      </c>
      <c r="B22">
        <v>1.1694700000000001E-2</v>
      </c>
      <c r="C22">
        <v>-0.31349528383176212</v>
      </c>
      <c r="G22">
        <f t="shared" si="0"/>
        <v>0.32094664590741939</v>
      </c>
      <c r="H22">
        <f t="shared" si="1"/>
        <v>-0.31349528383176212</v>
      </c>
    </row>
    <row r="23" spans="1:14" ht="17.5" thickBot="1" x14ac:dyDescent="0.5">
      <c r="A23">
        <v>2</v>
      </c>
      <c r="B23">
        <v>3.9396300000000004E-3</v>
      </c>
      <c r="C23">
        <v>-0.34441159008904082</v>
      </c>
      <c r="G23">
        <f t="shared" si="0"/>
        <v>0.27396529893921856</v>
      </c>
      <c r="H23">
        <f t="shared" si="1"/>
        <v>-0.34441159008904082</v>
      </c>
      <c r="J23" s="1" t="s">
        <v>11</v>
      </c>
      <c r="K23" s="1"/>
    </row>
    <row r="24" spans="1:14" ht="28.5" thickBot="1" x14ac:dyDescent="0.5">
      <c r="A24">
        <v>2</v>
      </c>
      <c r="B24">
        <v>-3.1673000000000001E-3</v>
      </c>
      <c r="C24">
        <v>-0.34067012627446552</v>
      </c>
      <c r="G24">
        <f t="shared" si="0"/>
        <v>0.23091047877528517</v>
      </c>
      <c r="H24">
        <f t="shared" si="1"/>
        <v>-0.34067012627446552</v>
      </c>
      <c r="J24" s="2" t="s">
        <v>12</v>
      </c>
      <c r="K24" s="2" t="s">
        <v>13</v>
      </c>
    </row>
    <row r="25" spans="1:14" ht="17.5" thickBot="1" x14ac:dyDescent="0.5">
      <c r="A25">
        <v>2</v>
      </c>
      <c r="B25">
        <v>-9.5662899999999999E-3</v>
      </c>
      <c r="C25">
        <v>-0.34890426398724328</v>
      </c>
      <c r="G25">
        <f t="shared" si="0"/>
        <v>0.19214446255156997</v>
      </c>
      <c r="H25">
        <f t="shared" si="1"/>
        <v>-0.34890426398724328</v>
      </c>
      <c r="J25" s="3">
        <v>0</v>
      </c>
      <c r="K25" s="3">
        <v>-0.91379999999999995</v>
      </c>
      <c r="M25" s="3">
        <v>0</v>
      </c>
      <c r="N25" s="3">
        <v>0.91379999999999995</v>
      </c>
    </row>
    <row r="26" spans="1:14" ht="17.5" thickBot="1" x14ac:dyDescent="0.5">
      <c r="A26">
        <v>2</v>
      </c>
      <c r="B26">
        <v>-1.52348E-2</v>
      </c>
      <c r="C26">
        <v>-0.34290916992178411</v>
      </c>
      <c r="G26">
        <f t="shared" si="0"/>
        <v>0.15780380088085444</v>
      </c>
      <c r="H26">
        <f t="shared" si="1"/>
        <v>-0.34290916992178411</v>
      </c>
      <c r="J26" s="3">
        <v>0.03</v>
      </c>
      <c r="K26" s="3">
        <v>0.86909999999999998</v>
      </c>
      <c r="M26" s="3">
        <v>0.03</v>
      </c>
      <c r="N26" s="3">
        <v>-0.86909999999999998</v>
      </c>
    </row>
    <row r="27" spans="1:14" ht="17.5" thickBot="1" x14ac:dyDescent="0.5">
      <c r="A27">
        <v>2</v>
      </c>
      <c r="B27">
        <v>-2.0181899999999999E-2</v>
      </c>
      <c r="C27">
        <v>-0.34285811680930478</v>
      </c>
      <c r="G27">
        <f t="shared" si="0"/>
        <v>0.12783354637813735</v>
      </c>
      <c r="H27">
        <f t="shared" si="1"/>
        <v>-0.34285811680930478</v>
      </c>
      <c r="J27" s="3">
        <v>0.12</v>
      </c>
      <c r="K27" s="3">
        <v>0.71730000000000005</v>
      </c>
      <c r="M27" s="3">
        <v>0.12</v>
      </c>
      <c r="N27" s="3">
        <v>-0.71730000000000005</v>
      </c>
    </row>
    <row r="28" spans="1:14" ht="17.5" thickBot="1" x14ac:dyDescent="0.5">
      <c r="A28">
        <v>2</v>
      </c>
      <c r="B28">
        <v>-2.44406E-2</v>
      </c>
      <c r="C28">
        <v>-0.31488830447227678</v>
      </c>
      <c r="G28">
        <f t="shared" si="0"/>
        <v>0.10203371964111542</v>
      </c>
      <c r="H28">
        <f t="shared" si="1"/>
        <v>-0.31488830447227678</v>
      </c>
      <c r="J28" s="3">
        <v>0.26</v>
      </c>
      <c r="K28" s="3">
        <v>0.53169999999999995</v>
      </c>
      <c r="M28" s="3">
        <v>0.26</v>
      </c>
      <c r="N28" s="3">
        <v>-0.53169999999999995</v>
      </c>
    </row>
    <row r="29" spans="1:14" ht="17.5" thickBot="1" x14ac:dyDescent="0.5">
      <c r="A29">
        <v>2</v>
      </c>
      <c r="B29">
        <v>-2.8060600000000002E-2</v>
      </c>
      <c r="C29">
        <v>-0.26355075322316651</v>
      </c>
      <c r="G29">
        <f t="shared" si="0"/>
        <v>8.0103230809307716E-2</v>
      </c>
      <c r="H29">
        <f t="shared" si="1"/>
        <v>-0.26355075322316651</v>
      </c>
      <c r="J29" s="3">
        <v>0.47</v>
      </c>
      <c r="K29" s="3">
        <v>0.35170000000000001</v>
      </c>
      <c r="M29" s="3">
        <v>0.47</v>
      </c>
      <c r="N29" s="3">
        <v>-0.35170000000000001</v>
      </c>
    </row>
    <row r="30" spans="1:14" ht="17.5" thickBot="1" x14ac:dyDescent="0.5">
      <c r="A30">
        <v>2</v>
      </c>
      <c r="B30">
        <v>-3.1100800000000001E-2</v>
      </c>
      <c r="C30">
        <v>-0.21332907714682331</v>
      </c>
      <c r="G30">
        <f t="shared" si="0"/>
        <v>6.1685255078240943E-2</v>
      </c>
      <c r="H30">
        <f t="shared" si="1"/>
        <v>-0.21332907714682331</v>
      </c>
      <c r="J30" s="3">
        <v>0.69</v>
      </c>
      <c r="K30" s="3">
        <v>0.20549999999999999</v>
      </c>
      <c r="M30" s="3">
        <v>0.69</v>
      </c>
      <c r="N30" s="3">
        <v>-0.20549999999999999</v>
      </c>
    </row>
    <row r="31" spans="1:14" ht="17.5" thickBot="1" x14ac:dyDescent="0.5">
      <c r="A31">
        <v>2</v>
      </c>
      <c r="B31">
        <v>-3.3623399999999998E-2</v>
      </c>
      <c r="C31">
        <v>-0.14139524166309261</v>
      </c>
      <c r="G31">
        <f t="shared" si="0"/>
        <v>4.6402975761357518E-2</v>
      </c>
      <c r="H31">
        <f t="shared" si="1"/>
        <v>-0.14139524166309261</v>
      </c>
      <c r="J31" s="3">
        <v>0.83</v>
      </c>
      <c r="K31" s="3">
        <v>8.7359999999999993E-2</v>
      </c>
      <c r="M31" s="3">
        <v>0.83</v>
      </c>
      <c r="N31" s="3">
        <v>-8.7359999999999993E-2</v>
      </c>
    </row>
    <row r="32" spans="1:14" ht="17.5" thickBot="1" x14ac:dyDescent="0.5">
      <c r="A32">
        <v>2</v>
      </c>
      <c r="B32">
        <v>-3.5689600000000002E-2</v>
      </c>
      <c r="C32">
        <v>2.6620551507210429E-2</v>
      </c>
      <c r="G32">
        <f t="shared" si="0"/>
        <v>3.3885634318185934E-2</v>
      </c>
      <c r="H32">
        <f t="shared" si="1"/>
        <v>2.6620551507210429E-2</v>
      </c>
      <c r="J32" s="3"/>
      <c r="K32" s="3"/>
    </row>
    <row r="33" spans="1:14" ht="17.5" thickBot="1" x14ac:dyDescent="0.5">
      <c r="A33">
        <v>2</v>
      </c>
      <c r="B33">
        <v>-3.7356300000000002E-2</v>
      </c>
      <c r="C33">
        <v>0.12573652273542679</v>
      </c>
      <c r="G33">
        <f t="shared" si="0"/>
        <v>2.3788522236425195E-2</v>
      </c>
      <c r="H33">
        <f t="shared" si="1"/>
        <v>0.12573652273542679</v>
      </c>
      <c r="J33" s="3"/>
      <c r="K33" s="3"/>
      <c r="M33" s="3">
        <v>0.04</v>
      </c>
      <c r="N33" s="3">
        <f>--0.05606</f>
        <v>5.6059999999999999E-2</v>
      </c>
    </row>
    <row r="34" spans="1:14" ht="17.5" thickBot="1" x14ac:dyDescent="0.5">
      <c r="A34">
        <v>2</v>
      </c>
      <c r="B34">
        <v>-3.86735E-2</v>
      </c>
      <c r="C34">
        <v>0.41374901013809529</v>
      </c>
      <c r="G34">
        <f t="shared" si="0"/>
        <v>1.5808732211768557E-2</v>
      </c>
      <c r="H34">
        <f t="shared" si="1"/>
        <v>0.41374901013809529</v>
      </c>
      <c r="J34" s="3"/>
      <c r="K34" s="3"/>
      <c r="M34" s="3">
        <v>0.2</v>
      </c>
      <c r="N34" s="3">
        <v>-0.27579999999999999</v>
      </c>
    </row>
    <row r="35" spans="1:14" ht="17.5" thickBot="1" x14ac:dyDescent="0.5">
      <c r="A35">
        <v>2</v>
      </c>
      <c r="B35">
        <v>-3.9683499999999997E-2</v>
      </c>
      <c r="C35">
        <v>0.48493163553819768</v>
      </c>
      <c r="G35">
        <f t="shared" si="0"/>
        <v>9.6900046647725082E-3</v>
      </c>
      <c r="H35">
        <f t="shared" si="1"/>
        <v>0.48493163553819768</v>
      </c>
      <c r="J35" s="3"/>
      <c r="K35" s="3"/>
      <c r="M35" s="3">
        <v>0.45</v>
      </c>
      <c r="N35" s="3">
        <v>-0.2195</v>
      </c>
    </row>
    <row r="36" spans="1:14" ht="17.5" thickBot="1" x14ac:dyDescent="0.5">
      <c r="A36">
        <v>2</v>
      </c>
      <c r="B36">
        <v>-4.0419900000000002E-2</v>
      </c>
      <c r="C36">
        <v>0.90911006722569321</v>
      </c>
      <c r="G36">
        <f t="shared" si="0"/>
        <v>5.2287858869428687E-3</v>
      </c>
      <c r="H36">
        <f t="shared" si="1"/>
        <v>0.90911006722569321</v>
      </c>
      <c r="J36" s="3"/>
      <c r="K36" s="3"/>
      <c r="M36" s="3">
        <v>0.69</v>
      </c>
      <c r="N36" s="3">
        <v>-9.8610000000000003E-2</v>
      </c>
    </row>
    <row r="37" spans="1:14" ht="17.5" thickBot="1" x14ac:dyDescent="0.5">
      <c r="A37">
        <v>2</v>
      </c>
      <c r="B37">
        <v>-4.0884499999999997E-2</v>
      </c>
      <c r="C37">
        <v>0.41243621581719181</v>
      </c>
      <c r="G37">
        <f t="shared" si="0"/>
        <v>2.4141712153247044E-3</v>
      </c>
      <c r="H37">
        <f t="shared" si="1"/>
        <v>0.41243621581719181</v>
      </c>
      <c r="J37" s="3"/>
      <c r="K37" s="3"/>
      <c r="M37" s="3">
        <v>0.85</v>
      </c>
      <c r="N37" s="3">
        <v>-3.6740000000000002E-2</v>
      </c>
    </row>
    <row r="38" spans="1:14" ht="17.5" thickBot="1" x14ac:dyDescent="0.5">
      <c r="A38">
        <v>2</v>
      </c>
      <c r="B38">
        <v>-4.1144699999999999E-2</v>
      </c>
      <c r="C38">
        <v>0.59870714334983677</v>
      </c>
      <c r="G38">
        <f t="shared" si="0"/>
        <v>8.3784160371243744E-4</v>
      </c>
      <c r="H38">
        <f t="shared" si="1"/>
        <v>0.59870714334983677</v>
      </c>
      <c r="J38" s="3"/>
      <c r="K38" s="3"/>
    </row>
    <row r="39" spans="1:14" ht="17.5" thickBot="1" x14ac:dyDescent="0.5">
      <c r="A39">
        <v>2</v>
      </c>
      <c r="B39">
        <v>-4.1261199999999998E-2</v>
      </c>
      <c r="C39">
        <v>0.73837387249040654</v>
      </c>
      <c r="G39">
        <f t="shared" si="0"/>
        <v>1.3206758467775129E-4</v>
      </c>
      <c r="H39">
        <f t="shared" si="1"/>
        <v>0.73837387249040654</v>
      </c>
      <c r="J39" s="3"/>
      <c r="K39" s="3"/>
    </row>
    <row r="40" spans="1:14" ht="17.5" thickBot="1" x14ac:dyDescent="0.5">
      <c r="A40">
        <v>2</v>
      </c>
      <c r="B40">
        <v>-4.1283E-2</v>
      </c>
      <c r="C40">
        <v>0.74121826018569759</v>
      </c>
      <c r="G40">
        <f t="shared" si="0"/>
        <v>0</v>
      </c>
      <c r="H40">
        <f t="shared" si="1"/>
        <v>0.74121826018569759</v>
      </c>
      <c r="J40" s="3"/>
      <c r="K40" s="3"/>
    </row>
    <row r="41" spans="1:14" ht="17.5" thickBot="1" x14ac:dyDescent="0.5">
      <c r="J41" s="3"/>
      <c r="K41" s="3"/>
    </row>
    <row r="42" spans="1:14" ht="17.5" thickBot="1" x14ac:dyDescent="0.5">
      <c r="A42">
        <v>1</v>
      </c>
      <c r="B42">
        <v>0.12378400000000001</v>
      </c>
      <c r="C42">
        <v>-0.1019749455270727</v>
      </c>
      <c r="G42">
        <f t="shared" ref="G42:G80" si="2">(B42-$E$3)/$E$4</f>
        <v>1</v>
      </c>
      <c r="H42">
        <f t="shared" ref="H42:H80" si="3">C42</f>
        <v>-0.1019749455270727</v>
      </c>
      <c r="J42" s="3"/>
      <c r="K42" s="3"/>
    </row>
    <row r="43" spans="1:14" x14ac:dyDescent="0.45">
      <c r="A43">
        <v>1</v>
      </c>
      <c r="B43">
        <v>0.122822</v>
      </c>
      <c r="C43">
        <v>1.395646229156106</v>
      </c>
      <c r="G43">
        <f t="shared" si="2"/>
        <v>0.99417206346513831</v>
      </c>
      <c r="H43">
        <f t="shared" si="3"/>
        <v>1.395646229156106</v>
      </c>
      <c r="J43" s="4"/>
      <c r="K43" s="4"/>
    </row>
    <row r="44" spans="1:14" ht="17.5" thickBot="1" x14ac:dyDescent="0.5">
      <c r="A44">
        <v>1</v>
      </c>
      <c r="B44">
        <v>0.121658</v>
      </c>
      <c r="C44">
        <v>0.94601417424664791</v>
      </c>
      <c r="G44">
        <f t="shared" si="2"/>
        <v>0.98712038142087744</v>
      </c>
      <c r="H44">
        <f t="shared" si="3"/>
        <v>0.94601417424664791</v>
      </c>
      <c r="J44" s="1" t="s">
        <v>14</v>
      </c>
      <c r="K44" s="1"/>
    </row>
    <row r="45" spans="1:14" ht="28.5" thickBot="1" x14ac:dyDescent="0.5">
      <c r="A45">
        <v>1</v>
      </c>
      <c r="B45">
        <v>0.12024899999999999</v>
      </c>
      <c r="C45">
        <v>8.5769228965697164E-2</v>
      </c>
      <c r="G45">
        <f t="shared" si="2"/>
        <v>0.97858445358551371</v>
      </c>
      <c r="H45">
        <f t="shared" si="3"/>
        <v>8.5769228965697164E-2</v>
      </c>
      <c r="J45" s="2" t="s">
        <v>12</v>
      </c>
      <c r="K45" s="2" t="s">
        <v>13</v>
      </c>
    </row>
    <row r="46" spans="1:14" ht="17.5" thickBot="1" x14ac:dyDescent="0.5">
      <c r="A46">
        <v>1</v>
      </c>
      <c r="B46">
        <v>0.11855300000000001</v>
      </c>
      <c r="C46">
        <v>0.63553831735296351</v>
      </c>
      <c r="G46">
        <f t="shared" si="2"/>
        <v>0.96830983782342916</v>
      </c>
      <c r="H46">
        <f t="shared" si="3"/>
        <v>0.63553831735296351</v>
      </c>
      <c r="J46" s="3">
        <v>0.04</v>
      </c>
      <c r="K46" s="3">
        <v>-5.6059999999999999E-2</v>
      </c>
    </row>
    <row r="47" spans="1:14" ht="17.5" thickBot="1" x14ac:dyDescent="0.5">
      <c r="A47">
        <v>1</v>
      </c>
      <c r="B47">
        <v>0.116517</v>
      </c>
      <c r="C47">
        <v>0.1450637724598399</v>
      </c>
      <c r="G47">
        <f t="shared" si="2"/>
        <v>0.95597545239205883</v>
      </c>
      <c r="H47">
        <f t="shared" si="3"/>
        <v>0.1450637724598399</v>
      </c>
      <c r="J47" s="3">
        <v>0.2</v>
      </c>
      <c r="K47" s="3">
        <v>0.27579999999999999</v>
      </c>
    </row>
    <row r="48" spans="1:14" ht="17.5" thickBot="1" x14ac:dyDescent="0.5">
      <c r="A48">
        <v>1</v>
      </c>
      <c r="B48">
        <v>0.11408699999999999</v>
      </c>
      <c r="C48">
        <v>0.19713794718901309</v>
      </c>
      <c r="G48">
        <f t="shared" si="2"/>
        <v>0.94125415740275153</v>
      </c>
      <c r="H48">
        <f t="shared" si="3"/>
        <v>0.19713794718901309</v>
      </c>
      <c r="J48" s="3">
        <v>0.45</v>
      </c>
      <c r="K48" s="3">
        <v>0.2195</v>
      </c>
    </row>
    <row r="49" spans="1:11" ht="17.5" thickBot="1" x14ac:dyDescent="0.5">
      <c r="A49">
        <v>1</v>
      </c>
      <c r="B49">
        <v>0.11120099999999999</v>
      </c>
      <c r="C49">
        <v>0.17883175971419171</v>
      </c>
      <c r="G49">
        <f t="shared" si="2"/>
        <v>0.9237703477981668</v>
      </c>
      <c r="H49">
        <f t="shared" si="3"/>
        <v>0.17883175971419171</v>
      </c>
      <c r="J49" s="3">
        <v>0.69</v>
      </c>
      <c r="K49" s="3">
        <v>9.8610000000000003E-2</v>
      </c>
    </row>
    <row r="50" spans="1:11" ht="17.5" thickBot="1" x14ac:dyDescent="0.5">
      <c r="A50">
        <v>1</v>
      </c>
      <c r="B50">
        <v>0.107798</v>
      </c>
      <c r="C50">
        <v>2.8735609024221669E-2</v>
      </c>
      <c r="G50">
        <f t="shared" si="2"/>
        <v>0.9031544766670504</v>
      </c>
      <c r="H50">
        <f t="shared" si="3"/>
        <v>2.8735609024221669E-2</v>
      </c>
      <c r="J50" s="3">
        <v>0.85</v>
      </c>
      <c r="K50" s="3">
        <v>3.6740000000000002E-2</v>
      </c>
    </row>
    <row r="51" spans="1:11" ht="17.5" thickBot="1" x14ac:dyDescent="0.5">
      <c r="A51">
        <v>1</v>
      </c>
      <c r="B51">
        <v>0.10381899999999999</v>
      </c>
      <c r="C51">
        <v>4.7333528570354992E-2</v>
      </c>
      <c r="G51">
        <f t="shared" si="2"/>
        <v>0.87904911339032021</v>
      </c>
      <c r="H51">
        <f t="shared" si="3"/>
        <v>4.7333528570354992E-2</v>
      </c>
      <c r="J51" s="3"/>
      <c r="K51" s="3"/>
    </row>
    <row r="52" spans="1:11" ht="17.5" thickBot="1" x14ac:dyDescent="0.5">
      <c r="A52">
        <v>1</v>
      </c>
      <c r="B52">
        <v>9.9208299999999999E-2</v>
      </c>
      <c r="C52">
        <v>-3.7998102288374337E-2</v>
      </c>
      <c r="G52">
        <f t="shared" si="2"/>
        <v>0.85111681923097871</v>
      </c>
      <c r="H52">
        <f t="shared" si="3"/>
        <v>-3.7998102288374337E-2</v>
      </c>
      <c r="J52" s="3"/>
      <c r="K52" s="3"/>
    </row>
    <row r="53" spans="1:11" ht="17.5" thickBot="1" x14ac:dyDescent="0.5">
      <c r="A53">
        <v>1</v>
      </c>
      <c r="B53">
        <v>9.3925599999999998E-2</v>
      </c>
      <c r="C53">
        <v>-7.6287936648060578E-2</v>
      </c>
      <c r="G53">
        <f t="shared" si="2"/>
        <v>0.81911345090175502</v>
      </c>
      <c r="H53">
        <f t="shared" si="3"/>
        <v>-7.6287936648060578E-2</v>
      </c>
      <c r="J53" s="3"/>
      <c r="K53" s="3"/>
    </row>
    <row r="54" spans="1:11" ht="17.5" thickBot="1" x14ac:dyDescent="0.5">
      <c r="A54">
        <v>1</v>
      </c>
      <c r="B54">
        <v>8.7947899999999996E-2</v>
      </c>
      <c r="C54">
        <v>-0.11986541480027491</v>
      </c>
      <c r="G54">
        <f t="shared" si="2"/>
        <v>0.78289967104266733</v>
      </c>
      <c r="H54">
        <f t="shared" si="3"/>
        <v>-0.11986541480027491</v>
      </c>
      <c r="J54" s="3"/>
      <c r="K54" s="3"/>
    </row>
    <row r="55" spans="1:11" x14ac:dyDescent="0.45">
      <c r="A55">
        <v>1</v>
      </c>
      <c r="B55">
        <v>8.1279299999999999E-2</v>
      </c>
      <c r="C55">
        <v>-0.16510576575896729</v>
      </c>
      <c r="G55">
        <f t="shared" si="2"/>
        <v>0.74250031805266947</v>
      </c>
      <c r="H55">
        <f t="shared" si="3"/>
        <v>-0.16510576575896729</v>
      </c>
    </row>
    <row r="56" spans="1:11" x14ac:dyDescent="0.45">
      <c r="A56">
        <v>1</v>
      </c>
      <c r="B56">
        <v>7.3956800000000003E-2</v>
      </c>
      <c r="C56">
        <v>-0.21612241172963489</v>
      </c>
      <c r="G56">
        <f t="shared" si="2"/>
        <v>0.69813954333694794</v>
      </c>
      <c r="H56">
        <f t="shared" si="3"/>
        <v>-0.21612241172963489</v>
      </c>
    </row>
    <row r="57" spans="1:11" x14ac:dyDescent="0.45">
      <c r="A57">
        <v>1</v>
      </c>
      <c r="B57">
        <v>6.6054000000000002E-2</v>
      </c>
      <c r="C57">
        <v>-0.26527197244390599</v>
      </c>
      <c r="G57">
        <f t="shared" si="2"/>
        <v>0.6502632264474425</v>
      </c>
      <c r="H57">
        <f t="shared" si="3"/>
        <v>-0.26527197244390599</v>
      </c>
    </row>
    <row r="58" spans="1:11" x14ac:dyDescent="0.45">
      <c r="A58">
        <v>1</v>
      </c>
      <c r="B58">
        <v>5.7682400000000002E-2</v>
      </c>
      <c r="C58">
        <v>-0.3185787151743727</v>
      </c>
      <c r="G58">
        <f t="shared" si="2"/>
        <v>0.59954685067275715</v>
      </c>
      <c r="H58">
        <f t="shared" si="3"/>
        <v>-0.3185787151743727</v>
      </c>
    </row>
    <row r="59" spans="1:11" x14ac:dyDescent="0.45">
      <c r="A59">
        <v>1</v>
      </c>
      <c r="B59">
        <v>4.8986799999999997E-2</v>
      </c>
      <c r="C59">
        <v>-0.37313990581147932</v>
      </c>
      <c r="G59">
        <f t="shared" si="2"/>
        <v>0.54686763556616391</v>
      </c>
      <c r="H59">
        <f t="shared" si="3"/>
        <v>-0.37313990581147932</v>
      </c>
    </row>
    <row r="60" spans="1:11" x14ac:dyDescent="0.45">
      <c r="A60">
        <v>1</v>
      </c>
      <c r="B60">
        <v>4.0136400000000003E-2</v>
      </c>
      <c r="C60">
        <v>-0.4359060609542339</v>
      </c>
      <c r="G60">
        <f t="shared" si="2"/>
        <v>0.49325061944543724</v>
      </c>
      <c r="H60">
        <f t="shared" si="3"/>
        <v>-0.4359060609542339</v>
      </c>
    </row>
    <row r="61" spans="1:11" x14ac:dyDescent="0.45">
      <c r="A61">
        <v>1</v>
      </c>
      <c r="B61">
        <v>3.1312600000000003E-2</v>
      </c>
      <c r="C61">
        <v>-0.49032867885746773</v>
      </c>
      <c r="G61">
        <f t="shared" si="2"/>
        <v>0.43979475001060175</v>
      </c>
      <c r="H61">
        <f t="shared" si="3"/>
        <v>-0.49032867885746773</v>
      </c>
    </row>
    <row r="62" spans="1:11" x14ac:dyDescent="0.45">
      <c r="A62">
        <v>1</v>
      </c>
      <c r="B62">
        <v>2.2694200000000001E-2</v>
      </c>
      <c r="C62">
        <v>-0.54806245577009227</v>
      </c>
      <c r="G62">
        <f t="shared" si="2"/>
        <v>0.38758322378185822</v>
      </c>
      <c r="H62">
        <f t="shared" si="3"/>
        <v>-0.54806245577009227</v>
      </c>
    </row>
    <row r="63" spans="1:11" x14ac:dyDescent="0.45">
      <c r="A63">
        <v>1</v>
      </c>
      <c r="B63">
        <v>1.4444E-2</v>
      </c>
      <c r="C63">
        <v>-0.61102553006098115</v>
      </c>
      <c r="G63">
        <f t="shared" si="2"/>
        <v>0.33760230694202953</v>
      </c>
      <c r="H63">
        <f t="shared" si="3"/>
        <v>-0.61102553006098115</v>
      </c>
    </row>
    <row r="64" spans="1:11" x14ac:dyDescent="0.45">
      <c r="A64">
        <v>1</v>
      </c>
      <c r="B64">
        <v>6.69683E-3</v>
      </c>
      <c r="C64">
        <v>-0.67638810063841204</v>
      </c>
      <c r="G64">
        <f t="shared" si="2"/>
        <v>0.29066881932790922</v>
      </c>
      <c r="H64">
        <f t="shared" si="3"/>
        <v>-0.67638810063841204</v>
      </c>
    </row>
    <row r="65" spans="1:8" x14ac:dyDescent="0.45">
      <c r="A65">
        <v>1</v>
      </c>
      <c r="B65">
        <v>-4.46744E-4</v>
      </c>
      <c r="C65">
        <v>-0.72083348170277894</v>
      </c>
      <c r="G65">
        <f t="shared" si="2"/>
        <v>0.2473920044587955</v>
      </c>
      <c r="H65">
        <f t="shared" si="3"/>
        <v>-0.72083348170277894</v>
      </c>
    </row>
    <row r="66" spans="1:8" x14ac:dyDescent="0.45">
      <c r="A66">
        <v>1</v>
      </c>
      <c r="B66">
        <v>-6.92334E-3</v>
      </c>
      <c r="C66">
        <v>-0.78016449170583557</v>
      </c>
      <c r="G66">
        <f t="shared" si="2"/>
        <v>0.20815583974991972</v>
      </c>
      <c r="H66">
        <f t="shared" si="3"/>
        <v>-0.78016449170583557</v>
      </c>
    </row>
    <row r="67" spans="1:8" x14ac:dyDescent="0.45">
      <c r="A67">
        <v>1</v>
      </c>
      <c r="B67">
        <v>-1.27049E-2</v>
      </c>
      <c r="C67">
        <v>-0.82563093501979401</v>
      </c>
      <c r="G67">
        <f t="shared" si="2"/>
        <v>0.17313030466416665</v>
      </c>
      <c r="H67">
        <f t="shared" si="3"/>
        <v>-0.82563093501979401</v>
      </c>
    </row>
    <row r="68" spans="1:8" x14ac:dyDescent="0.45">
      <c r="A68">
        <v>1</v>
      </c>
      <c r="B68">
        <v>-1.7793699999999999E-2</v>
      </c>
      <c r="C68">
        <v>-0.86699124943003836</v>
      </c>
      <c r="G68">
        <f t="shared" si="2"/>
        <v>0.14230161086104429</v>
      </c>
      <c r="H68">
        <f t="shared" si="3"/>
        <v>-0.86699124943003836</v>
      </c>
    </row>
    <row r="69" spans="1:8" x14ac:dyDescent="0.45">
      <c r="A69">
        <v>1</v>
      </c>
      <c r="B69">
        <v>-2.2216400000000001E-2</v>
      </c>
      <c r="C69">
        <v>-0.87130159078367198</v>
      </c>
      <c r="G69">
        <f t="shared" si="2"/>
        <v>0.11550824816589626</v>
      </c>
      <c r="H69">
        <f t="shared" si="3"/>
        <v>-0.87130159078367198</v>
      </c>
    </row>
    <row r="70" spans="1:8" x14ac:dyDescent="0.45">
      <c r="A70">
        <v>1</v>
      </c>
      <c r="B70">
        <v>-2.6016000000000001E-2</v>
      </c>
      <c r="C70">
        <v>-0.97068012087606848</v>
      </c>
      <c r="G70">
        <f t="shared" si="2"/>
        <v>9.248971629701877E-2</v>
      </c>
      <c r="H70">
        <f t="shared" si="3"/>
        <v>-0.97068012087606848</v>
      </c>
    </row>
    <row r="71" spans="1:8" x14ac:dyDescent="0.45">
      <c r="A71">
        <v>1</v>
      </c>
      <c r="B71">
        <v>-2.9246100000000001E-2</v>
      </c>
      <c r="C71">
        <v>-0.94427836842234192</v>
      </c>
      <c r="G71">
        <f t="shared" si="2"/>
        <v>7.2921298624195011E-2</v>
      </c>
      <c r="H71">
        <f t="shared" si="3"/>
        <v>-0.94427836842234192</v>
      </c>
    </row>
    <row r="72" spans="1:8" x14ac:dyDescent="0.45">
      <c r="A72">
        <v>1</v>
      </c>
      <c r="B72">
        <v>-3.1964699999999999E-2</v>
      </c>
      <c r="C72">
        <v>-0.96832438440022472</v>
      </c>
      <c r="G72">
        <f t="shared" si="2"/>
        <v>5.6451622674429172E-2</v>
      </c>
      <c r="H72">
        <f t="shared" si="3"/>
        <v>-0.96832438440022472</v>
      </c>
    </row>
    <row r="73" spans="1:8" x14ac:dyDescent="0.45">
      <c r="A73">
        <v>1</v>
      </c>
      <c r="B73">
        <v>-3.4229799999999998E-2</v>
      </c>
      <c r="C73">
        <v>-0.94666327810531647</v>
      </c>
      <c r="G73">
        <f t="shared" si="2"/>
        <v>4.2729315974725422E-2</v>
      </c>
      <c r="H73">
        <f t="shared" si="3"/>
        <v>-0.94666327810531647</v>
      </c>
    </row>
    <row r="74" spans="1:8" x14ac:dyDescent="0.45">
      <c r="A74">
        <v>1</v>
      </c>
      <c r="B74">
        <v>-3.6096099999999999E-2</v>
      </c>
      <c r="C74">
        <v>-0.90329001240302065</v>
      </c>
      <c r="G74">
        <f t="shared" si="2"/>
        <v>3.1422997934172185E-2</v>
      </c>
      <c r="H74">
        <f t="shared" si="3"/>
        <v>-0.90329001240302065</v>
      </c>
    </row>
    <row r="75" spans="1:8" x14ac:dyDescent="0.45">
      <c r="A75">
        <v>1</v>
      </c>
      <c r="B75">
        <v>-3.7612399999999997E-2</v>
      </c>
      <c r="C75">
        <v>-0.69929636153817798</v>
      </c>
      <c r="G75">
        <f t="shared" si="2"/>
        <v>2.2237031023766122E-2</v>
      </c>
      <c r="H75">
        <f t="shared" si="3"/>
        <v>-0.69929636153817798</v>
      </c>
    </row>
    <row r="76" spans="1:8" x14ac:dyDescent="0.45">
      <c r="A76">
        <v>1</v>
      </c>
      <c r="B76">
        <v>-3.8819800000000002E-2</v>
      </c>
      <c r="C76">
        <v>-0.46686612702220881</v>
      </c>
      <c r="G76">
        <f t="shared" si="2"/>
        <v>1.4922425439367035E-2</v>
      </c>
      <c r="H76">
        <f t="shared" si="3"/>
        <v>-0.46686612702220881</v>
      </c>
    </row>
    <row r="77" spans="1:8" x14ac:dyDescent="0.45">
      <c r="A77">
        <v>1</v>
      </c>
      <c r="B77">
        <v>-3.9751000000000002E-2</v>
      </c>
      <c r="C77">
        <v>-7.4245812148877308E-2</v>
      </c>
      <c r="G77">
        <f t="shared" si="2"/>
        <v>9.2810798039583836E-3</v>
      </c>
      <c r="H77">
        <f t="shared" si="3"/>
        <v>-7.4245812148877308E-2</v>
      </c>
    </row>
    <row r="78" spans="1:8" x14ac:dyDescent="0.45">
      <c r="A78">
        <v>1</v>
      </c>
      <c r="B78">
        <v>-4.04312E-2</v>
      </c>
      <c r="C78">
        <v>6.7681840544359675E-2</v>
      </c>
      <c r="G78">
        <f t="shared" si="2"/>
        <v>5.1603288361695534E-3</v>
      </c>
      <c r="H78">
        <f t="shared" si="3"/>
        <v>6.7681840544359675E-2</v>
      </c>
    </row>
    <row r="79" spans="1:8" x14ac:dyDescent="0.45">
      <c r="A79">
        <v>1</v>
      </c>
      <c r="B79">
        <v>-4.0910599999999998E-2</v>
      </c>
      <c r="C79">
        <v>0.72079701519386485</v>
      </c>
      <c r="G79">
        <f t="shared" si="2"/>
        <v>2.2560536024765813E-3</v>
      </c>
      <c r="H79">
        <f t="shared" si="3"/>
        <v>0.72079701519386485</v>
      </c>
    </row>
    <row r="80" spans="1:8" x14ac:dyDescent="0.45">
      <c r="A80">
        <v>1</v>
      </c>
      <c r="B80">
        <v>-4.1184499999999999E-2</v>
      </c>
      <c r="C80">
        <v>1.132649766868433</v>
      </c>
      <c r="G80">
        <f t="shared" si="2"/>
        <v>5.9672738948427818E-4</v>
      </c>
      <c r="H80">
        <f t="shared" si="3"/>
        <v>1.132649766868433</v>
      </c>
    </row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이민호</cp:lastModifiedBy>
  <dcterms:created xsi:type="dcterms:W3CDTF">2025-12-04T13:27:30Z</dcterms:created>
  <dcterms:modified xsi:type="dcterms:W3CDTF">2025-12-04T13:32:32Z</dcterms:modified>
</cp:coreProperties>
</file>